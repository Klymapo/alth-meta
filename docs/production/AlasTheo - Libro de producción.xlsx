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éeme" sheetId="1" state="visible" r:id="rId3"/>
    <sheet name="Economía" sheetId="2" state="visible" r:id="rId4"/>
    <sheet name="Balance" sheetId="3" state="visible" r:id="rId5"/>
    <sheet name="Catálogo IDs" sheetId="4" state="visible" r:id="rId6"/>
    <sheet name="Lista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Decidido en la biblia: equipo + preparación nunca superan +25%.</t>
        </r>
      </text>
    </comment>
    <comment ref="B6" authorId="0">
      <text>
        <r>
          <rPr>
            <sz val="10"/>
            <rFont val="Arial"/>
            <family val="2"/>
          </rPr>
          <t xml:space="preserve">Opcional. Si lo llenas, los conjuntos se comparan contra este tope en vez del techo general, para dejarle margen a la preparación.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Decidido en la biblia.</t>
        </r>
      </text>
    </comment>
    <comment ref="B6" authorId="0">
      <text>
        <r>
          <rPr>
            <sz val="10"/>
            <rFont val="Arial"/>
            <family val="2"/>
          </rPr>
          <t xml:space="preserve">Decidido en la biblia.</t>
        </r>
      </text>
    </comment>
    <comment ref="B7" authorId="0">
      <text>
        <r>
          <rPr>
            <sz val="10"/>
            <rFont val="Arial"/>
            <family val="2"/>
          </rPr>
          <t xml:space="preserve">Unidad base del Acto I. Sube en Parvenne y Stary Dol; los multiplicadores no cambian.</t>
        </r>
      </text>
    </comment>
    <comment ref="B8" authorId="0">
      <text>
        <r>
          <rPr>
            <sz val="10"/>
            <rFont val="Arial"/>
            <family val="2"/>
          </rPr>
          <t xml:space="preserve">Unidad base del Acto I.</t>
        </r>
      </text>
    </comment>
    <comment ref="B10" authorId="0">
      <text>
        <r>
          <rPr>
            <sz val="10"/>
            <rFont val="Arial"/>
            <family val="2"/>
          </rPr>
          <t xml:space="preserve">Prueba valores entre 0% y el techo.</t>
        </r>
      </text>
    </comment>
    <comment ref="B11" authorId="0">
      <text>
        <r>
          <rPr>
            <sz val="10"/>
            <rFont val="Arial"/>
            <family val="2"/>
          </rPr>
          <t xml:space="preserve">Prueba valores entre 0% y el techo.</t>
        </r>
      </text>
    </comment>
    <comment ref="B12" authorId="0">
      <text>
        <r>
          <rPr>
            <sz val="10"/>
            <rFont val="Arial"/>
            <family val="2"/>
          </rPr>
          <t xml:space="preserve">Brankov: 40 normal, 80 especial.</t>
        </r>
      </text>
    </comment>
    <comment ref="B13" authorId="0">
      <text>
        <r>
          <rPr>
            <sz val="10"/>
            <rFont val="Arial"/>
            <family val="2"/>
          </rPr>
          <t xml:space="preserve">Ajuste de la herramienta, no de diseño: qué tan lejos del objetivo se acepta como OK.</t>
        </r>
      </text>
    </comment>
    <comment ref="J24" authorId="0">
      <text>
        <r>
          <rPr>
            <sz val="10"/>
            <rFont val="Arial"/>
            <family val="2"/>
          </rPr>
          <t xml:space="preserve">Biblia: ~5 s cada uno, ~20 s el encuentro completo.</t>
        </r>
      </text>
    </comment>
    <comment ref="J25" authorId="0">
      <text>
        <r>
          <rPr>
            <sz val="10"/>
            <rFont val="Arial"/>
            <family val="2"/>
          </rPr>
          <t xml:space="preserve">Biblia: ~20 s.</t>
        </r>
      </text>
    </comment>
    <comment ref="J26" authorId="0">
      <text>
        <r>
          <rPr>
            <sz val="10"/>
            <rFont val="Arial"/>
            <family val="2"/>
          </rPr>
          <t xml:space="preserve">Biblia: 50–60 s; se usa el punto medio.</t>
        </r>
      </text>
    </comment>
  </commentList>
</comments>
</file>

<file path=xl/sharedStrings.xml><?xml version="1.0" encoding="utf-8"?>
<sst xmlns="http://schemas.openxmlformats.org/spreadsheetml/2006/main" count="436" uniqueCount="268">
  <si>
    <t xml:space="preserve">Libro de producción — El peso de los nombres (demo «El escondite»)</t>
  </si>
  <si>
    <t xml:space="preserve">Herramientas de apoyo para el roadmap. No es código del juego: aquí decides números y nombres, y las hojas revisan que cuadren.</t>
  </si>
  <si>
    <t xml:space="preserve">Hojas</t>
  </si>
  <si>
    <t xml:space="preserve">Economía</t>
  </si>
  <si>
    <t xml:space="preserve">Etapa 1.0.4. Precios, cantidades y bonos de los 4 conjuntos. Revisa sola que el dinero alcance para uno y no para dos, que los coleccionables alcancen y que ningún bono pase del tope.</t>
  </si>
  <si>
    <t xml:space="preserve">Balance</t>
  </si>
  <si>
    <t xml:space="preserve">Etapas 1.0.5, 1.2.6, 2.2 y 2.4. Con los números ya decididos, calcula cuánto dura cada pelea y cuántos golpes aguantas, con y sin tu bono.</t>
  </si>
  <si>
    <t xml:space="preserve">Catálogo IDs</t>
  </si>
  <si>
    <t xml:space="preserve">Etapa 1.0.1 y todos los lotes de diálogo. La lista única de pistas, banderas, personajes y zonas. Marca duplicados y prefijos mal puestos.</t>
  </si>
  <si>
    <t xml:space="preserve">Listas</t>
  </si>
  <si>
    <t xml:space="preserve">Opciones de las casillas desplegables (tipos de bono, estados, niveles).</t>
  </si>
  <si>
    <t xml:space="preserve">Colores</t>
  </si>
  <si>
    <t xml:space="preserve">Tú llenas</t>
  </si>
  <si>
    <t xml:space="preserve">Casillas amarillas con texto azul: decisiones tuyas (precios, cantidades, bonos). Están vacías a propósito.</t>
  </si>
  <si>
    <t xml:space="preserve">Ya decidido</t>
  </si>
  <si>
    <t xml:space="preserve">Texto azul sin relleno: viene de la biblia o del roadmap. Puedes cambiarlo si cambias el diseño.</t>
  </si>
  <si>
    <t xml:space="preserve">Viene de otra hoja</t>
  </si>
  <si>
    <t xml:space="preserve">Texto verde: se copia de otra hoja; cámbialo en su origen.</t>
  </si>
  <si>
    <t xml:space="preserve">Fórmula</t>
  </si>
  <si>
    <t xml:space="preserve">Texto negro: se calcula solo. No lo sobrescribas.</t>
  </si>
  <si>
    <t xml:space="preserve">OK</t>
  </si>
  <si>
    <t xml:space="preserve">La regla se cumple.</t>
  </si>
  <si>
    <t xml:space="preserve">REVISAR</t>
  </si>
  <si>
    <t xml:space="preserve">La regla no se cumple: ajusta los números.</t>
  </si>
  <si>
    <t xml:space="preserve">Falta llenar</t>
  </si>
  <si>
    <t xml:space="preserve">Todavía faltan datos para revisar esa regla.</t>
  </si>
  <si>
    <t xml:space="preserve">Ejemplo de una pieza en la hoja Economía (solo muestra el formato; no se usa en ningún cálculo)</t>
  </si>
  <si>
    <t xml:space="preserve">Conjunto</t>
  </si>
  <si>
    <t xml:space="preserve">Alastor · intimidante</t>
  </si>
  <si>
    <t xml:space="preserve">Personaje</t>
  </si>
  <si>
    <t xml:space="preserve">Alastor</t>
  </si>
  <si>
    <t xml:space="preserve">Tema</t>
  </si>
  <si>
    <t xml:space="preserve">Intimidación</t>
  </si>
  <si>
    <t xml:space="preserve">Pieza</t>
  </si>
  <si>
    <t xml:space="preserve">Gabardina</t>
  </si>
  <si>
    <t xml:space="preserve">Se paga con</t>
  </si>
  <si>
    <t xml:space="preserve">Tazas</t>
  </si>
  <si>
    <t xml:space="preserve">Costo en coleccionables</t>
  </si>
  <si>
    <t xml:space="preserve">Costo en dinero</t>
  </si>
  <si>
    <t xml:space="preserve">Tipo de bono</t>
  </si>
  <si>
    <t xml:space="preserve">Bono de la pieza</t>
  </si>
  <si>
    <t xml:space="preserve">Notas</t>
  </si>
  <si>
    <t xml:space="preserve">•</t>
  </si>
  <si>
    <t xml:space="preserve">Los objetos (tarjeta de acceso, manuales, armas, piezas) van al inventario o al equipo de GameState, no a banderas.</t>
  </si>
  <si>
    <t xml:space="preserve">Los IDs del catálogo son propuestas: cámbialos antes de marcarlos «Aprobado»; después ya no.</t>
  </si>
  <si>
    <t xml:space="preserve">Cuando cambies números de la biblia (vida, daño, techo), cámbialos aquí también para que las revisiones sigan valiendo.</t>
  </si>
  <si>
    <t xml:space="preserve">Hoja de economía — Etapa 1.0.4</t>
  </si>
  <si>
    <t xml:space="preserve">Regla: el jugador puede juntar todos los coleccionables, pero el dinero solo alcanza para UN conjunto completo.</t>
  </si>
  <si>
    <t xml:space="preserve">Parámetros</t>
  </si>
  <si>
    <t xml:space="preserve">Techo de bonos (equipo + preparación)</t>
  </si>
  <si>
    <t xml:space="preserve">Tope solo para equipo (opcional)</t>
  </si>
  <si>
    <t xml:space="preserve">Tope que se aplica a los conjuntos</t>
  </si>
  <si>
    <t xml:space="preserve">Oferta en el mundo abierto (Etapa 1.1.3)</t>
  </si>
  <si>
    <t xml:space="preserve">Tazas en el mundo abierto (Alastor)</t>
  </si>
  <si>
    <t xml:space="preserve">Libros en el mundo abierto (Theo)</t>
  </si>
  <si>
    <t xml:space="preserve">Fuente de dinero</t>
  </si>
  <si>
    <t xml:space="preserve">Cantidad</t>
  </si>
  <si>
    <t xml:space="preserve">Valor c/u ($ del juego)</t>
  </si>
  <si>
    <t xml:space="preserve">Subtotal</t>
  </si>
  <si>
    <t xml:space="preserve">Dinero total disponible</t>
  </si>
  <si>
    <t xml:space="preserve">Piezas (Etapa 1.2.7 — tienda de Ostrowski)</t>
  </si>
  <si>
    <t xml:space="preserve">Traje</t>
  </si>
  <si>
    <t xml:space="preserve">Lentes</t>
  </si>
  <si>
    <t xml:space="preserve">Alastor · de combate</t>
  </si>
  <si>
    <t xml:space="preserve">Combate</t>
  </si>
  <si>
    <t xml:space="preserve">Theo · sigiloso</t>
  </si>
  <si>
    <t xml:space="preserve">Theo</t>
  </si>
  <si>
    <t xml:space="preserve">Sigilo</t>
  </si>
  <si>
    <t xml:space="preserve">Corbata</t>
  </si>
  <si>
    <t xml:space="preserve">Chaleco</t>
  </si>
  <si>
    <t xml:space="preserve">Theo · carismático</t>
  </si>
  <si>
    <t xml:space="preserve">Carisma</t>
  </si>
  <si>
    <t xml:space="preserve">Conjuntos</t>
  </si>
  <si>
    <t xml:space="preserve">Bono extra del conjunto completo</t>
  </si>
  <si>
    <t xml:space="preserve">Costo total en coleccionables</t>
  </si>
  <si>
    <t xml:space="preserve">Costo total en dinero</t>
  </si>
  <si>
    <t xml:space="preserve">Bono total del tema</t>
  </si>
  <si>
    <t xml:space="preserve">¿Respeta el tope?</t>
  </si>
  <si>
    <t xml:space="preserve">Validaciones</t>
  </si>
  <si>
    <t xml:space="preserve">Regla</t>
  </si>
  <si>
    <t xml:space="preserve">Estado</t>
  </si>
  <si>
    <t xml:space="preserve">Detalle</t>
  </si>
  <si>
    <t xml:space="preserve">El dinero alcanza para al menos un conjunto</t>
  </si>
  <si>
    <t xml:space="preserve">El dinero NO alcanza para dos conjuntos</t>
  </si>
  <si>
    <t xml:space="preserve">Las tazas alcanzan para cualquier conjunto de Alastor</t>
  </si>
  <si>
    <t xml:space="preserve">Los libros alcanzan para cualquier conjunto de Theo</t>
  </si>
  <si>
    <t xml:space="preserve">Ningún conjunto supera el tope de bonos</t>
  </si>
  <si>
    <t xml:space="preserve">Calculadora de balance — Etapas 1.0.5, 1.2.6, 2.2 y 2.4</t>
  </si>
  <si>
    <t xml:space="preserve">Los números precargados ya están decididos en la biblia. Cambia tu bono para ver cuánto dura cada pelea.</t>
  </si>
  <si>
    <t xml:space="preserve">Vida del jugador</t>
  </si>
  <si>
    <t xml:space="preserve">Daño del jugador por segundo (sostenido, arma base)</t>
  </si>
  <si>
    <t xml:space="preserve">Vida base del enemigo (unidad de New Yarrow)</t>
  </si>
  <si>
    <t xml:space="preserve">Daño base del enemigo por golpe (unidad)</t>
  </si>
  <si>
    <t xml:space="preserve">Techo de bonos</t>
  </si>
  <si>
    <t xml:space="preserve">Tu bono de daño (equipo + preparación)</t>
  </si>
  <si>
    <t xml:space="preserve">Tu reducción de daño recibido (equipo + preparación)</t>
  </si>
  <si>
    <t xml:space="preserve">Ataque especial del jefe (× su golpe normal)</t>
  </si>
  <si>
    <t xml:space="preserve">Tolerancia para dar por bueno el objetivo</t>
  </si>
  <si>
    <t xml:space="preserve">¿Tus bonos están dentro del techo?</t>
  </si>
  <si>
    <t xml:space="preserve">Niveles de enemigo</t>
  </si>
  <si>
    <t xml:space="preserve">Nivel</t>
  </si>
  <si>
    <t xml:space="preserve">Multiplicador de vida</t>
  </si>
  <si>
    <t xml:space="preserve">Multiplicador de daño</t>
  </si>
  <si>
    <t xml:space="preserve">Nota</t>
  </si>
  <si>
    <t xml:space="preserve">Mob</t>
  </si>
  <si>
    <t xml:space="preserve">Mafiosos de la cancha</t>
  </si>
  <si>
    <t xml:space="preserve">Élite</t>
  </si>
  <si>
    <t xml:space="preserve">Renner</t>
  </si>
  <si>
    <t xml:space="preserve">Jefe</t>
  </si>
  <si>
    <t xml:space="preserve">Brankov, más su ataque especial</t>
  </si>
  <si>
    <t xml:space="preserve">Encuentros del demo</t>
  </si>
  <si>
    <t xml:space="preserve">Enemigo</t>
  </si>
  <si>
    <t xml:space="preserve">Vida c/u</t>
  </si>
  <si>
    <t xml:space="preserve">Daño por golpe</t>
  </si>
  <si>
    <t xml:space="preserve">Vida total del encuentro</t>
  </si>
  <si>
    <t xml:space="preserve">Segundos por enemigo</t>
  </si>
  <si>
    <t xml:space="preserve">Duración sin bono (s)</t>
  </si>
  <si>
    <t xml:space="preserve">Duración con tu bono (s)</t>
  </si>
  <si>
    <t xml:space="preserve">Duración objetivo (s)</t>
  </si>
  <si>
    <t xml:space="preserve">¿En el objetivo?</t>
  </si>
  <si>
    <t xml:space="preserve">Golpes que aguantas</t>
  </si>
  <si>
    <t xml:space="preserve">Golpes que aguantas (ataque especial)</t>
  </si>
  <si>
    <t xml:space="preserve">Mafiosos (cancha)</t>
  </si>
  <si>
    <t xml:space="preserve">Brankov</t>
  </si>
  <si>
    <t xml:space="preserve">Cuánto dura cada encuentro según tu bono de daño</t>
  </si>
  <si>
    <t xml:space="preserve">Sin bono (s)</t>
  </si>
  <si>
    <t xml:space="preserve">Mitad del techo (s)</t>
  </si>
  <si>
    <t xml:space="preserve">Techo completo (s)</t>
  </si>
  <si>
    <t xml:space="preserve">Unidad base por acto (referencia)</t>
  </si>
  <si>
    <t xml:space="preserve">Acto</t>
  </si>
  <si>
    <t xml:space="preserve">Vida base</t>
  </si>
  <si>
    <t xml:space="preserve">Daño base</t>
  </si>
  <si>
    <t xml:space="preserve">I · New Yarrow</t>
  </si>
  <si>
    <t xml:space="preserve">La que usa esta calculadora</t>
  </si>
  <si>
    <t xml:space="preserve">II · Parvenne</t>
  </si>
  <si>
    <t xml:space="preserve">Por definir. Sube la unidad base; multiplicadores y techo no cambian</t>
  </si>
  <si>
    <t xml:space="preserve">III · Stary Dol</t>
  </si>
  <si>
    <t xml:space="preserve">Catálogo de IDs — una sola lista para diálogos y GameState</t>
  </si>
  <si>
    <t xml:space="preserve">Convenciones: pistas pista_*, banderas bandera_*, NPC y zonas en minúsculas con guion bajo. Un ID «Aprobado» ya no se cambia: diálogos y código dependen de él.</t>
  </si>
  <si>
    <t xml:space="preserve">Pistas (mesa de Leopold)</t>
  </si>
  <si>
    <t xml:space="preserve">ID</t>
  </si>
  <si>
    <t xml:space="preserve">Texto que ve el jugador</t>
  </si>
  <si>
    <t xml:space="preserve">Dónde se obtiene</t>
  </si>
  <si>
    <t xml:space="preserve">Quién la da</t>
  </si>
  <si>
    <t xml:space="preserve">Etapa</t>
  </si>
  <si>
    <t xml:space="preserve">Lote</t>
  </si>
  <si>
    <t xml:space="preserve">Revisión</t>
  </si>
  <si>
    <t xml:space="preserve">pista_prueba_guardia</t>
  </si>
  <si>
    <t xml:space="preserve">Pista de prueba del sistema de diálogo</t>
  </si>
  <si>
    <t xml:space="preserve">Graybox</t>
  </si>
  <si>
    <t xml:space="preserve">Guardia de prueba</t>
  </si>
  <si>
    <t xml:space="preserve">Cualquiera</t>
  </si>
  <si>
    <t xml:space="preserve">1.0.1</t>
  </si>
  <si>
    <t xml:space="preserve">Lote 1</t>
  </si>
  <si>
    <t xml:space="preserve">Propuesto</t>
  </si>
  <si>
    <t xml:space="preserve">pista_puerta_trasera</t>
  </si>
  <si>
    <t xml:space="preserve">La puerta trasera del callejón pide tarjeta de acceso</t>
  </si>
  <si>
    <t xml:space="preserve">El Cormorán</t>
  </si>
  <si>
    <t xml:space="preserve">La camarera</t>
  </si>
  <si>
    <t xml:space="preserve">1.2.2</t>
  </si>
  <si>
    <t xml:space="preserve">Lote 2</t>
  </si>
  <si>
    <t xml:space="preserve">pista_horario_trabajadores</t>
  </si>
  <si>
    <t xml:space="preserve">Los trabajadores del edificio comen y pasean por la cancha a esa hora</t>
  </si>
  <si>
    <t xml:space="preserve">Fonda Delmar</t>
  </si>
  <si>
    <t xml:space="preserve">El mesero</t>
  </si>
  <si>
    <t xml:space="preserve">1.2.3</t>
  </si>
  <si>
    <t xml:space="preserve">pista_cancha_tomada</t>
  </si>
  <si>
    <t xml:space="preserve">Los maleantes tomaron la cancha</t>
  </si>
  <si>
    <t xml:space="preserve">Junto a la cancha</t>
  </si>
  <si>
    <t xml:space="preserve">Los niños</t>
  </si>
  <si>
    <t xml:space="preserve">1.2.4</t>
  </si>
  <si>
    <t xml:space="preserve">Banderas</t>
  </si>
  <si>
    <t xml:space="preserve">Qué registra</t>
  </si>
  <si>
    <t xml:space="preserve">Valores posibles</t>
  </si>
  <si>
    <t xml:space="preserve">La pone (etapa)</t>
  </si>
  <si>
    <t xml:space="preserve">La lee</t>
  </si>
  <si>
    <t xml:space="preserve">bandera_prueba_guardia</t>
  </si>
  <si>
    <t xml:space="preserve">El guardia recuerda la primera conversación (prueba de 1.0.1)</t>
  </si>
  <si>
    <t xml:space="preserve">sí / no</t>
  </si>
  <si>
    <t xml:space="preserve">1.0.1, segunda conversación</t>
  </si>
  <si>
    <t xml:space="preserve">bandera_encargo_leopold</t>
  </si>
  <si>
    <t xml:space="preserve">Leopold ya dio el encargo</t>
  </si>
  <si>
    <t xml:space="preserve">1.2.1</t>
  </si>
  <si>
    <t xml:space="preserve">Objetivo en pantalla; 1.2.5</t>
  </si>
  <si>
    <t xml:space="preserve">bandera_tablero_resuelto</t>
  </si>
  <si>
    <t xml:space="preserve">Las tres pistas quedaron conectadas en el tablero</t>
  </si>
  <si>
    <t xml:space="preserve">1.2.5</t>
  </si>
  <si>
    <t xml:space="preserve">Objetivo «ir a la cancha»; 1.2.6</t>
  </si>
  <si>
    <t xml:space="preserve">bandera_caza_01_resuelta</t>
  </si>
  <si>
    <t xml:space="preserve">Criminal del primer póster capturado</t>
  </si>
  <si>
    <t xml:space="preserve">1.3.1</t>
  </si>
  <si>
    <t xml:space="preserve">Mapa (quitar el póster)</t>
  </si>
  <si>
    <t xml:space="preserve">bandera_gdb_petrel_ganada</t>
  </si>
  <si>
    <t xml:space="preserve">Theo ganó la guerra de bandas</t>
  </si>
  <si>
    <t xml:space="preserve">1.3.2</t>
  </si>
  <si>
    <t xml:space="preserve">Casimira, diálogos posteriores</t>
  </si>
  <si>
    <t xml:space="preserve">bandera_prueba_marek_alastor</t>
  </si>
  <si>
    <t xml:space="preserve">Alastor pasó el tiro al plato</t>
  </si>
  <si>
    <t xml:space="preserve">1.3.3</t>
  </si>
  <si>
    <t xml:space="preserve">Entrega del arma</t>
  </si>
  <si>
    <t xml:space="preserve">bandera_prueba_marek_theo</t>
  </si>
  <si>
    <t xml:space="preserve">Theo pasó la esgrima contra el maniquí</t>
  </si>
  <si>
    <t xml:space="preserve">bandera_renner_ruta</t>
  </si>
  <si>
    <t xml:space="preserve">Cómo se cruzó a Renner</t>
  </si>
  <si>
    <t xml:space="preserve">combate / dialogo</t>
  </si>
  <si>
    <t xml:space="preserve">2.2</t>
  </si>
  <si>
    <t xml:space="preserve">2.4 y capítulos futuros</t>
  </si>
  <si>
    <t xml:space="preserve">bandera_renner_decision</t>
  </si>
  <si>
    <t xml:space="preserve">Qué se decidió sobre Renner</t>
  </si>
  <si>
    <t xml:space="preserve">entregar / soltar</t>
  </si>
  <si>
    <t xml:space="preserve">2.4</t>
  </si>
  <si>
    <t xml:space="preserve">Capítulos futuros</t>
  </si>
  <si>
    <t xml:space="preserve">Personajes (NPC y hablantes)</t>
  </si>
  <si>
    <t xml:space="preserve">Nombre</t>
  </si>
  <si>
    <t xml:space="preserve">Lugar</t>
  </si>
  <si>
    <t xml:space="preserve">Usa confianza</t>
  </si>
  <si>
    <t xml:space="preserve">alastor</t>
  </si>
  <si>
    <t xml:space="preserve">Alastor Kleinteil</t>
  </si>
  <si>
    <t xml:space="preserve">—</t>
  </si>
  <si>
    <t xml:space="preserve">Todas</t>
  </si>
  <si>
    <t xml:space="preserve">Todos</t>
  </si>
  <si>
    <t xml:space="preserve">No</t>
  </si>
  <si>
    <t xml:space="preserve">theo</t>
  </si>
  <si>
    <t xml:space="preserve">Theo Lunette</t>
  </si>
  <si>
    <t xml:space="preserve">guardia_salida</t>
  </si>
  <si>
    <t xml:space="preserve">leopold</t>
  </si>
  <si>
    <t xml:space="preserve">Leopold</t>
  </si>
  <si>
    <t xml:space="preserve">Oficina</t>
  </si>
  <si>
    <t xml:space="preserve">1.2.1 · 1.2.5</t>
  </si>
  <si>
    <t xml:space="preserve">camarera_cormoran</t>
  </si>
  <si>
    <t xml:space="preserve">mesero_delmar</t>
  </si>
  <si>
    <t xml:space="preserve">ninos_cancha</t>
  </si>
  <si>
    <t xml:space="preserve">mafioso_cancha</t>
  </si>
  <si>
    <t xml:space="preserve">Mafiosos (genérico)</t>
  </si>
  <si>
    <t xml:space="preserve">Cancha</t>
  </si>
  <si>
    <t xml:space="preserve">1.2.6</t>
  </si>
  <si>
    <t xml:space="preserve">ostrowski</t>
  </si>
  <si>
    <t xml:space="preserve">Ostrowski</t>
  </si>
  <si>
    <t xml:space="preserve">Casa de empeños</t>
  </si>
  <si>
    <t xml:space="preserve">1.2.7</t>
  </si>
  <si>
    <t xml:space="preserve">criminal_caza_01</t>
  </si>
  <si>
    <t xml:space="preserve">Criminal del primer póster</t>
  </si>
  <si>
    <t xml:space="preserve">Por definir</t>
  </si>
  <si>
    <t xml:space="preserve">Lote 3</t>
  </si>
  <si>
    <t xml:space="preserve">casimira</t>
  </si>
  <si>
    <t xml:space="preserve">Casimira</t>
  </si>
  <si>
    <t xml:space="preserve">El Petrel Ebrio</t>
  </si>
  <si>
    <t xml:space="preserve">marek</t>
  </si>
  <si>
    <t xml:space="preserve">Marek</t>
  </si>
  <si>
    <t xml:space="preserve">Puesto de armas</t>
  </si>
  <si>
    <t xml:space="preserve">renner</t>
  </si>
  <si>
    <t xml:space="preserve">Sala 2</t>
  </si>
  <si>
    <t xml:space="preserve">2.2 · 2.4</t>
  </si>
  <si>
    <t xml:space="preserve">Lote 4</t>
  </si>
  <si>
    <t xml:space="preserve">brankov</t>
  </si>
  <si>
    <t xml:space="preserve">Sala 4</t>
  </si>
  <si>
    <t xml:space="preserve">Zonas (reputación de zona)</t>
  </si>
  <si>
    <t xml:space="preserve">Qué la mueve</t>
  </si>
  <si>
    <t xml:space="preserve">muelle_seis</t>
  </si>
  <si>
    <t xml:space="preserve">Muelle Seis</t>
  </si>
  <si>
    <t xml:space="preserve">Decisión sobre Renner (ley / pueblo)</t>
  </si>
  <si>
    <t xml:space="preserve">Tipos de bono</t>
  </si>
  <si>
    <t xml:space="preserve">Estados de ID</t>
  </si>
  <si>
    <t xml:space="preserve">Personajes</t>
  </si>
  <si>
    <t xml:space="preserve">Listas de las casillas desplegables. Puedes agregar tipos de bono al final de la columna A (hasta la fila 11).</t>
  </si>
  <si>
    <t xml:space="preserve">Aprobado</t>
  </si>
  <si>
    <t xml:space="preserve">En juego</t>
  </si>
  <si>
    <t xml:space="preserve">Puntería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</si>
</sst>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#,##0"/>
    <numFmt numFmtId="167" formatCode="0%"/>
    <numFmt numFmtId="168" formatCode="0.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B241D"/>
      <name val="Arial"/>
      <family val="0"/>
      <charset val="1"/>
    </font>
    <font>
      <i val="true"/>
      <sz val="10"/>
      <color rgb="FF5A5046"/>
      <name val="Arial"/>
      <family val="0"/>
      <charset val="1"/>
    </font>
    <font>
      <b val="true"/>
      <sz val="11"/>
      <color rgb="FF2B241D"/>
      <name val="Arial"/>
      <family val="0"/>
      <charset val="1"/>
    </font>
    <font>
      <b val="true"/>
      <sz val="10"/>
      <color rgb="FF2B241D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EDE6DA"/>
        <bgColor rgb="FFE7E6E6"/>
      </patternFill>
    </fill>
    <fill>
      <patternFill patternType="solid">
        <fgColor rgb="FFFFFF00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EDE6DA"/>
      </patternFill>
    </fill>
    <fill>
      <patternFill patternType="solid">
        <fgColor rgb="FFE7E6E6"/>
        <bgColor rgb="FFEDE6DA"/>
      </patternFill>
    </fill>
    <fill>
      <patternFill patternType="solid">
        <fgColor rgb="FF2B241D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6A8"/>
      </left>
      <right style="thin">
        <color rgb="FFBFB6A8"/>
      </right>
      <top style="thin">
        <color rgb="FFBFB6A8"/>
      </top>
      <bottom style="thin">
        <color rgb="FFBFB6A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12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2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12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i val="1"/>
        <color rgb="FF595959"/>
      </font>
      <fill>
        <patternFill>
          <bgColor rgb="FFE7E6E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6A8"/>
      <rgbColor rgb="FF808080"/>
      <rgbColor rgb="FF9999FF"/>
      <rgbColor rgb="FF993366"/>
      <rgbColor rgb="FFEDE6DA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6100"/>
      <rgbColor rgb="FF5A5046"/>
      <rgbColor rgb="FF993300"/>
      <rgbColor rgb="FF993366"/>
      <rgbColor rgb="FF333399"/>
      <rgbColor rgb="FF2B241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5"/>
    <col collapsed="false" customWidth="true" hidden="false" outlineLevel="0" max="9" min="3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23.85" hidden="false" customHeight="false" outlineLevel="0" collapsed="false">
      <c r="A5" s="4" t="s">
        <v>3</v>
      </c>
      <c r="B5" s="5" t="s">
        <v>4</v>
      </c>
    </row>
    <row r="6" customFormat="false" ht="23.85" hidden="false" customHeight="false" outlineLevel="0" collapsed="false">
      <c r="A6" s="4" t="s">
        <v>5</v>
      </c>
      <c r="B6" s="5" t="s">
        <v>6</v>
      </c>
    </row>
    <row r="7" customFormat="false" ht="23.85" hidden="false" customHeight="false" outlineLevel="0" collapsed="false">
      <c r="A7" s="4" t="s">
        <v>7</v>
      </c>
      <c r="B7" s="5" t="s">
        <v>8</v>
      </c>
    </row>
    <row r="8" customFormat="false" ht="15" hidden="false" customHeight="false" outlineLevel="0" collapsed="false">
      <c r="A8" s="4" t="s">
        <v>9</v>
      </c>
      <c r="B8" s="5" t="s">
        <v>10</v>
      </c>
    </row>
    <row r="9" customFormat="false" ht="15" hidden="false" customHeight="false" outlineLevel="0" collapsed="false">
      <c r="A9" s="6"/>
    </row>
    <row r="10" customFormat="false" ht="15" hidden="false" customHeight="false" outlineLevel="0" collapsed="false">
      <c r="A10" s="3" t="s">
        <v>11</v>
      </c>
    </row>
    <row r="11" customFormat="false" ht="15" hidden="false" customHeight="false" outlineLevel="0" collapsed="false">
      <c r="A11" s="7" t="s">
        <v>12</v>
      </c>
      <c r="B11" s="8" t="s">
        <v>13</v>
      </c>
    </row>
    <row r="12" customFormat="false" ht="15" hidden="false" customHeight="false" outlineLevel="0" collapsed="false">
      <c r="A12" s="9" t="s">
        <v>14</v>
      </c>
      <c r="B12" s="8" t="s">
        <v>15</v>
      </c>
    </row>
    <row r="13" customFormat="false" ht="15" hidden="false" customHeight="false" outlineLevel="0" collapsed="false">
      <c r="A13" s="10" t="s">
        <v>16</v>
      </c>
      <c r="B13" s="8" t="s">
        <v>17</v>
      </c>
    </row>
    <row r="14" customFormat="false" ht="15" hidden="false" customHeight="false" outlineLevel="0" collapsed="false">
      <c r="A14" s="11" t="s">
        <v>18</v>
      </c>
      <c r="B14" s="8" t="s">
        <v>19</v>
      </c>
    </row>
    <row r="15" customFormat="false" ht="15" hidden="false" customHeight="false" outlineLevel="0" collapsed="false">
      <c r="A15" s="12" t="s">
        <v>20</v>
      </c>
      <c r="B15" s="13" t="s">
        <v>21</v>
      </c>
    </row>
    <row r="16" customFormat="false" ht="15" hidden="false" customHeight="false" outlineLevel="0" collapsed="false">
      <c r="A16" s="14" t="s">
        <v>22</v>
      </c>
      <c r="B16" s="13" t="s">
        <v>23</v>
      </c>
    </row>
    <row r="17" customFormat="false" ht="15" hidden="false" customHeight="false" outlineLevel="0" collapsed="false">
      <c r="A17" s="15" t="s">
        <v>24</v>
      </c>
      <c r="B17" s="13" t="s">
        <v>25</v>
      </c>
    </row>
    <row r="19" customFormat="false" ht="15" hidden="false" customHeight="false" outlineLevel="0" collapsed="false">
      <c r="A19" s="3" t="s">
        <v>26</v>
      </c>
    </row>
    <row r="20" customFormat="false" ht="15" hidden="false" customHeight="false" outlineLevel="0" collapsed="false">
      <c r="A20" s="16" t="s">
        <v>27</v>
      </c>
      <c r="B20" s="17" t="s">
        <v>28</v>
      </c>
    </row>
    <row r="21" customFormat="false" ht="15" hidden="false" customHeight="false" outlineLevel="0" collapsed="false">
      <c r="A21" s="16" t="s">
        <v>29</v>
      </c>
      <c r="B21" s="17" t="s">
        <v>30</v>
      </c>
    </row>
    <row r="22" customFormat="false" ht="15" hidden="false" customHeight="false" outlineLevel="0" collapsed="false">
      <c r="A22" s="16" t="s">
        <v>31</v>
      </c>
      <c r="B22" s="17" t="s">
        <v>32</v>
      </c>
    </row>
    <row r="23" customFormat="false" ht="15" hidden="false" customHeight="false" outlineLevel="0" collapsed="false">
      <c r="A23" s="16" t="s">
        <v>33</v>
      </c>
      <c r="B23" s="17" t="s">
        <v>34</v>
      </c>
    </row>
    <row r="24" customFormat="false" ht="15" hidden="false" customHeight="false" outlineLevel="0" collapsed="false">
      <c r="A24" s="16" t="s">
        <v>35</v>
      </c>
      <c r="B24" s="17" t="s">
        <v>36</v>
      </c>
    </row>
    <row r="25" customFormat="false" ht="15" hidden="false" customHeight="false" outlineLevel="0" collapsed="false">
      <c r="A25" s="16" t="s">
        <v>37</v>
      </c>
      <c r="B25" s="18" t="n">
        <v>2</v>
      </c>
    </row>
    <row r="26" customFormat="false" ht="15" hidden="false" customHeight="false" outlineLevel="0" collapsed="false">
      <c r="A26" s="16" t="s">
        <v>38</v>
      </c>
      <c r="B26" s="19" t="n">
        <v>150</v>
      </c>
    </row>
    <row r="27" customFormat="false" ht="15" hidden="false" customHeight="false" outlineLevel="0" collapsed="false">
      <c r="A27" s="16" t="s">
        <v>39</v>
      </c>
      <c r="B27" s="17" t="s">
        <v>32</v>
      </c>
    </row>
    <row r="28" customFormat="false" ht="15" hidden="false" customHeight="false" outlineLevel="0" collapsed="false">
      <c r="A28" s="16" t="s">
        <v>40</v>
      </c>
      <c r="B28" s="20" t="n">
        <v>0.05</v>
      </c>
    </row>
    <row r="31" customFormat="false" ht="15" hidden="false" customHeight="false" outlineLevel="0" collapsed="false">
      <c r="A31" s="3" t="s">
        <v>41</v>
      </c>
    </row>
    <row r="32" customFormat="false" ht="15" hidden="false" customHeight="false" outlineLevel="0" collapsed="false">
      <c r="A32" s="0" t="s">
        <v>42</v>
      </c>
      <c r="B32" s="8" t="s">
        <v>43</v>
      </c>
    </row>
    <row r="33" customFormat="false" ht="15" hidden="false" customHeight="false" outlineLevel="0" collapsed="false">
      <c r="A33" s="0" t="s">
        <v>42</v>
      </c>
      <c r="B33" s="8" t="s">
        <v>44</v>
      </c>
    </row>
    <row r="34" customFormat="false" ht="23.85" hidden="false" customHeight="false" outlineLevel="0" collapsed="false">
      <c r="A34" s="0" t="s">
        <v>42</v>
      </c>
      <c r="B34" s="8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2"/>
    <col collapsed="false" customWidth="true" hidden="false" outlineLevel="0" max="3" min="3" style="0" width="30"/>
    <col collapsed="false" customWidth="true" hidden="false" outlineLevel="0" max="5" min="4" style="0" width="14"/>
    <col collapsed="false" customWidth="true" hidden="false" outlineLevel="0" max="8" min="6" style="0" width="16"/>
    <col collapsed="false" customWidth="true" hidden="false" outlineLevel="0" max="9" min="9" style="0" width="14"/>
  </cols>
  <sheetData>
    <row r="1" customFormat="false" ht="17.35" hidden="false" customHeight="false" outlineLevel="0" collapsed="false">
      <c r="A1" s="1" t="s">
        <v>46</v>
      </c>
    </row>
    <row r="2" customFormat="false" ht="15" hidden="false" customHeight="false" outlineLevel="0" collapsed="false">
      <c r="A2" s="2" t="s">
        <v>47</v>
      </c>
    </row>
    <row r="4" customFormat="false" ht="15" hidden="false" customHeight="false" outlineLevel="0" collapsed="false">
      <c r="A4" s="3" t="s">
        <v>48</v>
      </c>
    </row>
    <row r="5" customFormat="false" ht="15" hidden="false" customHeight="false" outlineLevel="0" collapsed="false">
      <c r="A5" s="11" t="s">
        <v>49</v>
      </c>
      <c r="B5" s="21" t="n">
        <v>0.25</v>
      </c>
    </row>
    <row r="6" customFormat="false" ht="15" hidden="false" customHeight="false" outlineLevel="0" collapsed="false">
      <c r="A6" s="11" t="s">
        <v>50</v>
      </c>
      <c r="B6" s="22"/>
    </row>
    <row r="7" customFormat="false" ht="15" hidden="false" customHeight="false" outlineLevel="0" collapsed="false">
      <c r="A7" s="11" t="s">
        <v>51</v>
      </c>
      <c r="B7" s="23" t="n">
        <f aca="false">IF(B6="",B5,B6)</f>
        <v>0.25</v>
      </c>
    </row>
    <row r="9" customFormat="false" ht="15" hidden="false" customHeight="false" outlineLevel="0" collapsed="false">
      <c r="A9" s="3" t="s">
        <v>52</v>
      </c>
    </row>
    <row r="10" customFormat="false" ht="15" hidden="false" customHeight="false" outlineLevel="0" collapsed="false">
      <c r="A10" s="11" t="s">
        <v>53</v>
      </c>
      <c r="B10" s="24"/>
    </row>
    <row r="11" customFormat="false" ht="15" hidden="false" customHeight="false" outlineLevel="0" collapsed="false">
      <c r="A11" s="11" t="s">
        <v>54</v>
      </c>
      <c r="B11" s="24"/>
    </row>
    <row r="13" customFormat="false" ht="15" hidden="false" customHeight="false" outlineLevel="0" collapsed="false">
      <c r="A13" s="25" t="s">
        <v>55</v>
      </c>
      <c r="B13" s="25" t="s">
        <v>56</v>
      </c>
      <c r="C13" s="25" t="s">
        <v>57</v>
      </c>
      <c r="D13" s="25" t="s">
        <v>58</v>
      </c>
    </row>
    <row r="14" customFormat="false" ht="15" hidden="false" customHeight="false" outlineLevel="0" collapsed="false">
      <c r="A14" s="7"/>
      <c r="B14" s="24"/>
      <c r="C14" s="26"/>
      <c r="D14" s="27" t="str">
        <f aca="false">IF(COUNT(B14:C14)&lt;2,"",B14*C14)</f>
        <v/>
      </c>
    </row>
    <row r="15" customFormat="false" ht="15" hidden="false" customHeight="false" outlineLevel="0" collapsed="false">
      <c r="A15" s="7"/>
      <c r="B15" s="24"/>
      <c r="C15" s="26"/>
      <c r="D15" s="27" t="str">
        <f aca="false">IF(COUNT(B15:C15)&lt;2,"",B15*C15)</f>
        <v/>
      </c>
    </row>
    <row r="16" customFormat="false" ht="15" hidden="false" customHeight="false" outlineLevel="0" collapsed="false">
      <c r="A16" s="7"/>
      <c r="B16" s="24"/>
      <c r="C16" s="26"/>
      <c r="D16" s="27" t="str">
        <f aca="false">IF(COUNT(B16:C16)&lt;2,"",B16*C16)</f>
        <v/>
      </c>
    </row>
    <row r="17" customFormat="false" ht="15" hidden="false" customHeight="false" outlineLevel="0" collapsed="false">
      <c r="A17" s="7"/>
      <c r="B17" s="24"/>
      <c r="C17" s="26"/>
      <c r="D17" s="27" t="str">
        <f aca="false">IF(COUNT(B17:C17)&lt;2,"",B17*C17)</f>
        <v/>
      </c>
    </row>
    <row r="18" customFormat="false" ht="15" hidden="false" customHeight="false" outlineLevel="0" collapsed="false">
      <c r="A18" s="7"/>
      <c r="B18" s="24"/>
      <c r="C18" s="26"/>
      <c r="D18" s="27" t="str">
        <f aca="false">IF(COUNT(B18:C18)&lt;2,"",B18*C18)</f>
        <v/>
      </c>
    </row>
    <row r="19" customFormat="false" ht="15" hidden="false" customHeight="false" outlineLevel="0" collapsed="false">
      <c r="A19" s="7"/>
      <c r="B19" s="24"/>
      <c r="C19" s="26"/>
      <c r="D19" s="27" t="str">
        <f aca="false">IF(COUNT(B19:C19)&lt;2,"",B19*C19)</f>
        <v/>
      </c>
    </row>
    <row r="20" customFormat="false" ht="15" hidden="false" customHeight="false" outlineLevel="0" collapsed="false">
      <c r="A20" s="7"/>
      <c r="B20" s="24"/>
      <c r="C20" s="26"/>
      <c r="D20" s="27" t="str">
        <f aca="false">IF(COUNT(B20:C20)&lt;2,"",B20*C20)</f>
        <v/>
      </c>
    </row>
    <row r="21" customFormat="false" ht="15" hidden="false" customHeight="false" outlineLevel="0" collapsed="false">
      <c r="A21" s="7"/>
      <c r="B21" s="24"/>
      <c r="C21" s="26"/>
      <c r="D21" s="27" t="str">
        <f aca="false">IF(COUNT(B21:C21)&lt;2,"",B21*C21)</f>
        <v/>
      </c>
    </row>
    <row r="22" customFormat="false" ht="15" hidden="false" customHeight="false" outlineLevel="0" collapsed="false">
      <c r="A22" s="7"/>
      <c r="B22" s="24"/>
      <c r="C22" s="26"/>
      <c r="D22" s="27" t="str">
        <f aca="false">IF(COUNT(B22:C22)&lt;2,"",B22*C22)</f>
        <v/>
      </c>
    </row>
    <row r="23" customFormat="false" ht="15" hidden="false" customHeight="false" outlineLevel="0" collapsed="false">
      <c r="A23" s="7"/>
      <c r="B23" s="24"/>
      <c r="C23" s="26"/>
      <c r="D23" s="27" t="str">
        <f aca="false">IF(COUNT(B23:C23)&lt;2,"",B23*C23)</f>
        <v/>
      </c>
    </row>
    <row r="24" customFormat="false" ht="15" hidden="false" customHeight="false" outlineLevel="0" collapsed="false">
      <c r="A24" s="28" t="s">
        <v>59</v>
      </c>
      <c r="D24" s="29" t="n">
        <f aca="false">SUM(D14:D23)</f>
        <v>0</v>
      </c>
    </row>
    <row r="26" customFormat="false" ht="15" hidden="false" customHeight="false" outlineLevel="0" collapsed="false">
      <c r="A26" s="3" t="s">
        <v>60</v>
      </c>
    </row>
    <row r="27" customFormat="false" ht="30" hidden="false" customHeight="true" outlineLevel="0" collapsed="false">
      <c r="A27" s="25" t="s">
        <v>27</v>
      </c>
      <c r="B27" s="25" t="s">
        <v>29</v>
      </c>
      <c r="C27" s="25" t="s">
        <v>31</v>
      </c>
      <c r="D27" s="25" t="s">
        <v>33</v>
      </c>
      <c r="E27" s="25" t="s">
        <v>35</v>
      </c>
      <c r="F27" s="25" t="s">
        <v>37</v>
      </c>
      <c r="G27" s="25" t="s">
        <v>38</v>
      </c>
      <c r="H27" s="25" t="s">
        <v>39</v>
      </c>
      <c r="I27" s="25" t="s">
        <v>40</v>
      </c>
    </row>
    <row r="28" customFormat="false" ht="15" hidden="false" customHeight="false" outlineLevel="0" collapsed="false">
      <c r="A28" s="9" t="s">
        <v>28</v>
      </c>
      <c r="B28" s="9" t="s">
        <v>30</v>
      </c>
      <c r="C28" s="9" t="s">
        <v>32</v>
      </c>
      <c r="D28" s="9" t="s">
        <v>61</v>
      </c>
      <c r="E28" s="11" t="str">
        <f aca="false">IF(B28="Alastor","Tazas","Libros")</f>
        <v>Tazas</v>
      </c>
      <c r="F28" s="24"/>
      <c r="G28" s="26"/>
      <c r="H28" s="7"/>
      <c r="I28" s="22"/>
    </row>
    <row r="29" customFormat="false" ht="15" hidden="false" customHeight="false" outlineLevel="0" collapsed="false">
      <c r="A29" s="9" t="s">
        <v>28</v>
      </c>
      <c r="B29" s="9" t="s">
        <v>30</v>
      </c>
      <c r="C29" s="9" t="s">
        <v>32</v>
      </c>
      <c r="D29" s="9" t="s">
        <v>34</v>
      </c>
      <c r="E29" s="11" t="str">
        <f aca="false">IF(B29="Alastor","Tazas","Libros")</f>
        <v>Tazas</v>
      </c>
      <c r="F29" s="24"/>
      <c r="G29" s="26"/>
      <c r="H29" s="7"/>
      <c r="I29" s="22"/>
    </row>
    <row r="30" customFormat="false" ht="15" hidden="false" customHeight="false" outlineLevel="0" collapsed="false">
      <c r="A30" s="9" t="s">
        <v>28</v>
      </c>
      <c r="B30" s="9" t="s">
        <v>30</v>
      </c>
      <c r="C30" s="9" t="s">
        <v>32</v>
      </c>
      <c r="D30" s="9" t="s">
        <v>62</v>
      </c>
      <c r="E30" s="11" t="str">
        <f aca="false">IF(B30="Alastor","Tazas","Libros")</f>
        <v>Tazas</v>
      </c>
      <c r="F30" s="24"/>
      <c r="G30" s="26"/>
      <c r="H30" s="7"/>
      <c r="I30" s="22"/>
    </row>
    <row r="31" customFormat="false" ht="15" hidden="false" customHeight="false" outlineLevel="0" collapsed="false">
      <c r="A31" s="9" t="s">
        <v>63</v>
      </c>
      <c r="B31" s="9" t="s">
        <v>30</v>
      </c>
      <c r="C31" s="9" t="s">
        <v>64</v>
      </c>
      <c r="D31" s="9" t="s">
        <v>61</v>
      </c>
      <c r="E31" s="11" t="str">
        <f aca="false">IF(B31="Alastor","Tazas","Libros")</f>
        <v>Tazas</v>
      </c>
      <c r="F31" s="24"/>
      <c r="G31" s="26"/>
      <c r="H31" s="7"/>
      <c r="I31" s="22"/>
    </row>
    <row r="32" customFormat="false" ht="15" hidden="false" customHeight="false" outlineLevel="0" collapsed="false">
      <c r="A32" s="9" t="s">
        <v>63</v>
      </c>
      <c r="B32" s="9" t="s">
        <v>30</v>
      </c>
      <c r="C32" s="9" t="s">
        <v>64</v>
      </c>
      <c r="D32" s="9" t="s">
        <v>34</v>
      </c>
      <c r="E32" s="11" t="str">
        <f aca="false">IF(B32="Alastor","Tazas","Libros")</f>
        <v>Tazas</v>
      </c>
      <c r="F32" s="24"/>
      <c r="G32" s="26"/>
      <c r="H32" s="7"/>
      <c r="I32" s="22"/>
    </row>
    <row r="33" customFormat="false" ht="15" hidden="false" customHeight="false" outlineLevel="0" collapsed="false">
      <c r="A33" s="9" t="s">
        <v>63</v>
      </c>
      <c r="B33" s="9" t="s">
        <v>30</v>
      </c>
      <c r="C33" s="9" t="s">
        <v>64</v>
      </c>
      <c r="D33" s="9" t="s">
        <v>62</v>
      </c>
      <c r="E33" s="11" t="str">
        <f aca="false">IF(B33="Alastor","Tazas","Libros")</f>
        <v>Tazas</v>
      </c>
      <c r="F33" s="24"/>
      <c r="G33" s="26"/>
      <c r="H33" s="7"/>
      <c r="I33" s="22"/>
    </row>
    <row r="34" customFormat="false" ht="15" hidden="false" customHeight="false" outlineLevel="0" collapsed="false">
      <c r="A34" s="9" t="s">
        <v>65</v>
      </c>
      <c r="B34" s="9" t="s">
        <v>66</v>
      </c>
      <c r="C34" s="9" t="s">
        <v>67</v>
      </c>
      <c r="D34" s="9" t="s">
        <v>61</v>
      </c>
      <c r="E34" s="11" t="str">
        <f aca="false">IF(B34="Alastor","Tazas","Libros")</f>
        <v>Libros</v>
      </c>
      <c r="F34" s="24"/>
      <c r="G34" s="26"/>
      <c r="H34" s="7"/>
      <c r="I34" s="22"/>
    </row>
    <row r="35" customFormat="false" ht="15" hidden="false" customHeight="false" outlineLevel="0" collapsed="false">
      <c r="A35" s="9" t="s">
        <v>65</v>
      </c>
      <c r="B35" s="9" t="s">
        <v>66</v>
      </c>
      <c r="C35" s="9" t="s">
        <v>67</v>
      </c>
      <c r="D35" s="9" t="s">
        <v>68</v>
      </c>
      <c r="E35" s="11" t="str">
        <f aca="false">IF(B35="Alastor","Tazas","Libros")</f>
        <v>Libros</v>
      </c>
      <c r="F35" s="24"/>
      <c r="G35" s="26"/>
      <c r="H35" s="7"/>
      <c r="I35" s="22"/>
    </row>
    <row r="36" customFormat="false" ht="15" hidden="false" customHeight="false" outlineLevel="0" collapsed="false">
      <c r="A36" s="9" t="s">
        <v>65</v>
      </c>
      <c r="B36" s="9" t="s">
        <v>66</v>
      </c>
      <c r="C36" s="9" t="s">
        <v>67</v>
      </c>
      <c r="D36" s="9" t="s">
        <v>69</v>
      </c>
      <c r="E36" s="11" t="str">
        <f aca="false">IF(B36="Alastor","Tazas","Libros")</f>
        <v>Libros</v>
      </c>
      <c r="F36" s="24"/>
      <c r="G36" s="26"/>
      <c r="H36" s="7"/>
      <c r="I36" s="22"/>
    </row>
    <row r="37" customFormat="false" ht="15" hidden="false" customHeight="false" outlineLevel="0" collapsed="false">
      <c r="A37" s="9" t="s">
        <v>70</v>
      </c>
      <c r="B37" s="9" t="s">
        <v>66</v>
      </c>
      <c r="C37" s="9" t="s">
        <v>71</v>
      </c>
      <c r="D37" s="9" t="s">
        <v>61</v>
      </c>
      <c r="E37" s="11" t="str">
        <f aca="false">IF(B37="Alastor","Tazas","Libros")</f>
        <v>Libros</v>
      </c>
      <c r="F37" s="24"/>
      <c r="G37" s="26"/>
      <c r="H37" s="7"/>
      <c r="I37" s="22"/>
    </row>
    <row r="38" customFormat="false" ht="15" hidden="false" customHeight="false" outlineLevel="0" collapsed="false">
      <c r="A38" s="9" t="s">
        <v>70</v>
      </c>
      <c r="B38" s="9" t="s">
        <v>66</v>
      </c>
      <c r="C38" s="9" t="s">
        <v>71</v>
      </c>
      <c r="D38" s="9" t="s">
        <v>68</v>
      </c>
      <c r="E38" s="11" t="str">
        <f aca="false">IF(B38="Alastor","Tazas","Libros")</f>
        <v>Libros</v>
      </c>
      <c r="F38" s="24"/>
      <c r="G38" s="26"/>
      <c r="H38" s="7"/>
      <c r="I38" s="22"/>
    </row>
    <row r="39" customFormat="false" ht="15" hidden="false" customHeight="false" outlineLevel="0" collapsed="false">
      <c r="A39" s="9" t="s">
        <v>70</v>
      </c>
      <c r="B39" s="9" t="s">
        <v>66</v>
      </c>
      <c r="C39" s="9" t="s">
        <v>71</v>
      </c>
      <c r="D39" s="9" t="s">
        <v>69</v>
      </c>
      <c r="E39" s="11" t="str">
        <f aca="false">IF(B39="Alastor","Tazas","Libros")</f>
        <v>Libros</v>
      </c>
      <c r="F39" s="24"/>
      <c r="G39" s="26"/>
      <c r="H39" s="7"/>
      <c r="I39" s="22"/>
    </row>
    <row r="42" customFormat="false" ht="15" hidden="false" customHeight="false" outlineLevel="0" collapsed="false">
      <c r="A42" s="3" t="s">
        <v>72</v>
      </c>
    </row>
    <row r="43" customFormat="false" ht="30" hidden="false" customHeight="true" outlineLevel="0" collapsed="false">
      <c r="A43" s="25" t="s">
        <v>27</v>
      </c>
      <c r="B43" s="25" t="s">
        <v>29</v>
      </c>
      <c r="C43" s="25" t="s">
        <v>31</v>
      </c>
      <c r="D43" s="25" t="s">
        <v>73</v>
      </c>
      <c r="E43" s="25" t="s">
        <v>74</v>
      </c>
      <c r="F43" s="25" t="s">
        <v>75</v>
      </c>
      <c r="G43" s="25" t="s">
        <v>76</v>
      </c>
      <c r="H43" s="25" t="s">
        <v>77</v>
      </c>
    </row>
    <row r="44" customFormat="false" ht="15" hidden="false" customHeight="false" outlineLevel="0" collapsed="false">
      <c r="A44" s="9" t="s">
        <v>28</v>
      </c>
      <c r="B44" s="9" t="s">
        <v>30</v>
      </c>
      <c r="C44" s="9" t="s">
        <v>32</v>
      </c>
      <c r="D44" s="22"/>
      <c r="E44" s="30" t="n">
        <f aca="false">SUMIF($A$28:$A$39,A44,$F$28:$F$39)</f>
        <v>0</v>
      </c>
      <c r="F44" s="27" t="n">
        <f aca="false">SUMIF($A$28:$A$39,A44,$G$28:$G$39)</f>
        <v>0</v>
      </c>
      <c r="G44" s="23" t="n">
        <f aca="false">SUMIFS($I$28:$I$39,$A$28:$A$39,A44,$H$28:$H$39,C44)+N(D44)</f>
        <v>0</v>
      </c>
      <c r="H44" s="11" t="str">
        <f aca="false">IF(OR(D44="",COUNTIFS($A$28:$A$39,A44,$I$28:$I$39,"&lt;&gt;")&lt;3),"Falta llenar",IF(G44&lt;=$B$7,"OK","REVISAR"))</f>
        <v>Falta llenar</v>
      </c>
    </row>
    <row r="45" customFormat="false" ht="15" hidden="false" customHeight="false" outlineLevel="0" collapsed="false">
      <c r="A45" s="9" t="s">
        <v>63</v>
      </c>
      <c r="B45" s="9" t="s">
        <v>30</v>
      </c>
      <c r="C45" s="9" t="s">
        <v>64</v>
      </c>
      <c r="D45" s="22"/>
      <c r="E45" s="30" t="n">
        <f aca="false">SUMIF($A$28:$A$39,A45,$F$28:$F$39)</f>
        <v>0</v>
      </c>
      <c r="F45" s="27" t="n">
        <f aca="false">SUMIF($A$28:$A$39,A45,$G$28:$G$39)</f>
        <v>0</v>
      </c>
      <c r="G45" s="23" t="n">
        <f aca="false">SUMIFS($I$28:$I$39,$A$28:$A$39,A45,$H$28:$H$39,C45)+N(D45)</f>
        <v>0</v>
      </c>
      <c r="H45" s="11" t="str">
        <f aca="false">IF(OR(D45="",COUNTIFS($A$28:$A$39,A45,$I$28:$I$39,"&lt;&gt;")&lt;3),"Falta llenar",IF(G45&lt;=$B$7,"OK","REVISAR"))</f>
        <v>Falta llenar</v>
      </c>
    </row>
    <row r="46" customFormat="false" ht="15" hidden="false" customHeight="false" outlineLevel="0" collapsed="false">
      <c r="A46" s="9" t="s">
        <v>65</v>
      </c>
      <c r="B46" s="9" t="s">
        <v>66</v>
      </c>
      <c r="C46" s="9" t="s">
        <v>67</v>
      </c>
      <c r="D46" s="22"/>
      <c r="E46" s="30" t="n">
        <f aca="false">SUMIF($A$28:$A$39,A46,$F$28:$F$39)</f>
        <v>0</v>
      </c>
      <c r="F46" s="27" t="n">
        <f aca="false">SUMIF($A$28:$A$39,A46,$G$28:$G$39)</f>
        <v>0</v>
      </c>
      <c r="G46" s="23" t="n">
        <f aca="false">SUMIFS($I$28:$I$39,$A$28:$A$39,A46,$H$28:$H$39,C46)+N(D46)</f>
        <v>0</v>
      </c>
      <c r="H46" s="11" t="str">
        <f aca="false">IF(OR(D46="",COUNTIFS($A$28:$A$39,A46,$I$28:$I$39,"&lt;&gt;")&lt;3),"Falta llenar",IF(G46&lt;=$B$7,"OK","REVISAR"))</f>
        <v>Falta llenar</v>
      </c>
    </row>
    <row r="47" customFormat="false" ht="15" hidden="false" customHeight="false" outlineLevel="0" collapsed="false">
      <c r="A47" s="9" t="s">
        <v>70</v>
      </c>
      <c r="B47" s="9" t="s">
        <v>66</v>
      </c>
      <c r="C47" s="9" t="s">
        <v>71</v>
      </c>
      <c r="D47" s="22"/>
      <c r="E47" s="30" t="n">
        <f aca="false">SUMIF($A$28:$A$39,A47,$F$28:$F$39)</f>
        <v>0</v>
      </c>
      <c r="F47" s="27" t="n">
        <f aca="false">SUMIF($A$28:$A$39,A47,$G$28:$G$39)</f>
        <v>0</v>
      </c>
      <c r="G47" s="23" t="n">
        <f aca="false">SUMIFS($I$28:$I$39,$A$28:$A$39,A47,$H$28:$H$39,C47)+N(D47)</f>
        <v>0</v>
      </c>
      <c r="H47" s="11" t="str">
        <f aca="false">IF(OR(D47="",COUNTIFS($A$28:$A$39,A47,$I$28:$I$39,"&lt;&gt;")&lt;3),"Falta llenar",IF(G47&lt;=$B$7,"OK","REVISAR"))</f>
        <v>Falta llenar</v>
      </c>
    </row>
    <row r="49" customFormat="false" ht="15" hidden="false" customHeight="false" outlineLevel="0" collapsed="false">
      <c r="A49" s="3" t="s">
        <v>78</v>
      </c>
    </row>
    <row r="50" customFormat="false" ht="15" hidden="false" customHeight="false" outlineLevel="0" collapsed="false">
      <c r="A50" s="25" t="s">
        <v>79</v>
      </c>
      <c r="B50" s="25" t="s">
        <v>80</v>
      </c>
      <c r="C50" s="25" t="s">
        <v>81</v>
      </c>
    </row>
    <row r="51" customFormat="false" ht="15" hidden="false" customHeight="false" outlineLevel="0" collapsed="false">
      <c r="A51" s="11" t="s">
        <v>82</v>
      </c>
      <c r="B51" s="11" t="str">
        <f aca="false">IF(OR(COUNT($G$28:$G$39)&lt;12,$D$24=0),"Falta llenar",IF($D$24&gt;=MIN($F$44:$F$47),"OK","REVISAR"))</f>
        <v>Falta llenar</v>
      </c>
      <c r="C51" s="11" t="str">
        <f aca="false">IF(B51="Falta llenar","Llena los costos en dinero y las fuentes de dinero","Dinero total: "&amp;TEXT($D$24,"#,##0")&amp;" · conjunto más barato: "&amp;TEXT(MIN($F$44:$F$47),"#,##0"))</f>
        <v>Llena los costos en dinero y las fuentes de dinero</v>
      </c>
    </row>
    <row r="52" customFormat="false" ht="15" hidden="false" customHeight="false" outlineLevel="0" collapsed="false">
      <c r="A52" s="11" t="s">
        <v>83</v>
      </c>
      <c r="B52" s="11" t="str">
        <f aca="false">IF(OR(COUNT($G$28:$G$39)&lt;12,$D$24=0),"Falta llenar",IF($D$24&lt;SMALL($F$44:$F$47,1)+SMALL($F$44:$F$47,2),"OK","REVISAR"))</f>
        <v>Falta llenar</v>
      </c>
      <c r="C52" s="11" t="str">
        <f aca="false">IF(B52="Falta llenar","Llena los costos en dinero y las fuentes de dinero","Dinero total: "&amp;TEXT($D$24,"#,##0")&amp;" · los dos conjuntos más baratos juntos: "&amp;TEXT(SMALL($F$44:$F$47,1)+SMALL($F$44:$F$47,2),"#,##0"))</f>
        <v>Llena los costos en dinero y las fuentes de dinero</v>
      </c>
    </row>
    <row r="53" customFormat="false" ht="15" hidden="false" customHeight="false" outlineLevel="0" collapsed="false">
      <c r="A53" s="11" t="s">
        <v>84</v>
      </c>
      <c r="B53" s="11" t="str">
        <f aca="false">IF(OR($B$10="",COUNT($F$28:$F$33)&lt;6),"Falta llenar",IF($B$10&gt;=MAX($E$44:$E$45),"OK","REVISAR"))</f>
        <v>Falta llenar</v>
      </c>
      <c r="C53" s="11" t="str">
        <f aca="false">IF(B53="Falta llenar","Llena las tazas y sus costos","Tazas: "&amp;$B$10&amp;" · conjunto de Alastor más caro: "&amp;MAX($E$44:$E$45))</f>
        <v>Llena las tazas y sus costos</v>
      </c>
    </row>
    <row r="54" customFormat="false" ht="15" hidden="false" customHeight="false" outlineLevel="0" collapsed="false">
      <c r="A54" s="11" t="s">
        <v>85</v>
      </c>
      <c r="B54" s="11" t="str">
        <f aca="false">IF(OR($B$11="",COUNT($F$34:$F$39)&lt;6),"Falta llenar",IF($B$11&gt;=MAX($E$46:$E$47),"OK","REVISAR"))</f>
        <v>Falta llenar</v>
      </c>
      <c r="C54" s="11" t="str">
        <f aca="false">IF(B54="Falta llenar","Llena los libros y sus costos","Libros: "&amp;$B$11&amp;" · conjunto de Theo más caro: "&amp;MAX($E$46:$E$47))</f>
        <v>Llena los libros y sus costos</v>
      </c>
    </row>
    <row r="55" customFormat="false" ht="15" hidden="false" customHeight="false" outlineLevel="0" collapsed="false">
      <c r="A55" s="11" t="s">
        <v>86</v>
      </c>
      <c r="B55" s="11" t="str">
        <f aca="false">IF(COUNTIF($H$44:$H$47,"Falta llenar")&gt;0,"Falta llenar",IF(COUNTIF($H$44:$H$47,"REVISAR")=0,"OK","REVISAR"))</f>
        <v>Falta llenar</v>
      </c>
      <c r="C55" s="11" t="str">
        <f aca="false">"Tope aplicado: "&amp;TEXT($B$7,"0%")&amp;" · bono de tema más alto: "&amp;TEXT(MAX($G$44:$G$47),"0%")</f>
        <v>Tope aplicado: 25% · bono de tema más alto: 0%</v>
      </c>
    </row>
  </sheetData>
  <conditionalFormatting sqref="H44:H47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1">
      <formula>"REVISAR"</formula>
    </cfRule>
    <cfRule type="cellIs" priority="4" operator="equal" aboveAverage="0" equalAverage="0" bottom="0" percent="0" rank="0" text="" dxfId="1">
      <formula>"DUPLICADO"</formula>
    </cfRule>
    <cfRule type="cellIs" priority="5" operator="equal" aboveAverage="0" equalAverage="0" bottom="0" percent="0" rank="0" text="" dxfId="2">
      <formula>"Falta llenar"</formula>
    </cfRule>
  </conditionalFormatting>
  <conditionalFormatting sqref="B51:B55">
    <cfRule type="cellIs" priority="6" operator="equal" aboveAverage="0" equalAverage="0" bottom="0" percent="0" rank="0" text="" dxfId="0">
      <formula>"OK"</formula>
    </cfRule>
    <cfRule type="cellIs" priority="7" operator="equal" aboveAverage="0" equalAverage="0" bottom="0" percent="0" rank="0" text="" dxfId="1">
      <formula>"REVISAR"</formula>
    </cfRule>
    <cfRule type="cellIs" priority="8" operator="equal" aboveAverage="0" equalAverage="0" bottom="0" percent="0" rank="0" text="" dxfId="1">
      <formula>"DUPLICADO"</formula>
    </cfRule>
    <cfRule type="cellIs" priority="9" operator="equal" aboveAverage="0" equalAverage="0" bottom="0" percent="0" rank="0" text="" dxfId="2">
      <formula>"Falta llenar"</formula>
    </cfRule>
  </conditionalFormatting>
  <dataValidations count="3">
    <dataValidation allowBlank="true" errorStyle="stop" operator="between" showDropDown="false" showErrorMessage="false" showInputMessage="false" sqref="H28:H39" type="list">
      <formula1>Listas!$A$2:$A$11</formula1>
      <formula2>0</formula2>
    </dataValidation>
    <dataValidation allowBlank="true" error="Escribe el bono como porcentaje (por ejemplo 5%)." errorStyle="stop" errorTitle="Bono" operator="between" showDropDown="false" showErrorMessage="false" showInputMessage="false" sqref="B6 I28:I39 D44:D47" type="decimal">
      <formula1>0</formula1>
      <formula2>1</formula2>
    </dataValidation>
    <dataValidation allowBlank="true" error="Escribe un número entero de 0 en adelante." errorStyle="stop" errorTitle="Cantidad" operator="greaterThanOrEqual" showDropDown="false" showErrorMessage="false" showInputMessage="false" sqref="B10:B11 B14:C23 F28:G39" type="whol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10" min="8" style="0" width="14"/>
    <col collapsed="false" customWidth="true" hidden="false" outlineLevel="0" max="12" min="11" style="0" width="13"/>
    <col collapsed="false" customWidth="true" hidden="false" outlineLevel="0" max="13" min="13" style="0" width="16"/>
  </cols>
  <sheetData>
    <row r="1" customFormat="false" ht="17.35" hidden="false" customHeight="false" outlineLevel="0" collapsed="false">
      <c r="A1" s="1" t="s">
        <v>87</v>
      </c>
    </row>
    <row r="2" customFormat="false" ht="15" hidden="false" customHeight="false" outlineLevel="0" collapsed="false">
      <c r="A2" s="2" t="s">
        <v>88</v>
      </c>
    </row>
    <row r="4" customFormat="false" ht="15" hidden="false" customHeight="false" outlineLevel="0" collapsed="false">
      <c r="A4" s="3" t="s">
        <v>48</v>
      </c>
    </row>
    <row r="5" customFormat="false" ht="15" hidden="false" customHeight="false" outlineLevel="0" collapsed="false">
      <c r="A5" s="11" t="s">
        <v>89</v>
      </c>
      <c r="B5" s="31" t="n">
        <v>100</v>
      </c>
    </row>
    <row r="6" customFormat="false" ht="15" hidden="false" customHeight="false" outlineLevel="0" collapsed="false">
      <c r="A6" s="11" t="s">
        <v>90</v>
      </c>
      <c r="B6" s="31" t="n">
        <v>20</v>
      </c>
    </row>
    <row r="7" customFormat="false" ht="15" hidden="false" customHeight="false" outlineLevel="0" collapsed="false">
      <c r="A7" s="11" t="s">
        <v>91</v>
      </c>
      <c r="B7" s="31" t="n">
        <v>100</v>
      </c>
    </row>
    <row r="8" customFormat="false" ht="15" hidden="false" customHeight="false" outlineLevel="0" collapsed="false">
      <c r="A8" s="11" t="s">
        <v>92</v>
      </c>
      <c r="B8" s="31" t="n">
        <v>20</v>
      </c>
    </row>
    <row r="9" customFormat="false" ht="15" hidden="false" customHeight="false" outlineLevel="0" collapsed="false">
      <c r="A9" s="11" t="s">
        <v>93</v>
      </c>
      <c r="B9" s="32" t="n">
        <f aca="false">Economía!B5</f>
        <v>0.25</v>
      </c>
    </row>
    <row r="10" customFormat="false" ht="15" hidden="false" customHeight="false" outlineLevel="0" collapsed="false">
      <c r="A10" s="11" t="s">
        <v>94</v>
      </c>
      <c r="B10" s="22" t="n">
        <v>0</v>
      </c>
    </row>
    <row r="11" customFormat="false" ht="15" hidden="false" customHeight="false" outlineLevel="0" collapsed="false">
      <c r="A11" s="11" t="s">
        <v>95</v>
      </c>
      <c r="B11" s="22" t="n">
        <v>0</v>
      </c>
    </row>
    <row r="12" customFormat="false" ht="15" hidden="false" customHeight="false" outlineLevel="0" collapsed="false">
      <c r="A12" s="11" t="s">
        <v>96</v>
      </c>
      <c r="B12" s="33" t="n">
        <v>2</v>
      </c>
    </row>
    <row r="13" customFormat="false" ht="15" hidden="false" customHeight="false" outlineLevel="0" collapsed="false">
      <c r="A13" s="11" t="s">
        <v>97</v>
      </c>
      <c r="B13" s="21" t="n">
        <v>0.2</v>
      </c>
    </row>
    <row r="14" customFormat="false" ht="15" hidden="false" customHeight="false" outlineLevel="0" collapsed="false">
      <c r="A14" s="11" t="s">
        <v>98</v>
      </c>
      <c r="B14" s="11" t="str">
        <f aca="false">IF(AND(B10&lt;=B9,B11&lt;=B9),"OK","REVISAR")</f>
        <v>OK</v>
      </c>
    </row>
    <row r="16" customFormat="false" ht="15" hidden="false" customHeight="false" outlineLevel="0" collapsed="false">
      <c r="A16" s="3" t="s">
        <v>99</v>
      </c>
    </row>
    <row r="17" customFormat="false" ht="23.85" hidden="false" customHeight="false" outlineLevel="0" collapsed="false">
      <c r="A17" s="25" t="s">
        <v>100</v>
      </c>
      <c r="B17" s="25" t="s">
        <v>101</v>
      </c>
      <c r="C17" s="25" t="s">
        <v>102</v>
      </c>
      <c r="D17" s="25" t="s">
        <v>103</v>
      </c>
    </row>
    <row r="18" customFormat="false" ht="15" hidden="false" customHeight="false" outlineLevel="0" collapsed="false">
      <c r="A18" s="9" t="s">
        <v>104</v>
      </c>
      <c r="B18" s="33" t="n">
        <v>1</v>
      </c>
      <c r="C18" s="33" t="n">
        <v>1</v>
      </c>
      <c r="D18" s="11" t="s">
        <v>105</v>
      </c>
    </row>
    <row r="19" customFormat="false" ht="15" hidden="false" customHeight="false" outlineLevel="0" collapsed="false">
      <c r="A19" s="9" t="s">
        <v>106</v>
      </c>
      <c r="B19" s="33" t="n">
        <v>4</v>
      </c>
      <c r="C19" s="33" t="n">
        <v>1.5</v>
      </c>
      <c r="D19" s="11" t="s">
        <v>107</v>
      </c>
    </row>
    <row r="20" customFormat="false" ht="15" hidden="false" customHeight="false" outlineLevel="0" collapsed="false">
      <c r="A20" s="9" t="s">
        <v>108</v>
      </c>
      <c r="B20" s="33" t="n">
        <v>10</v>
      </c>
      <c r="C20" s="33" t="n">
        <v>2</v>
      </c>
      <c r="D20" s="11" t="s">
        <v>109</v>
      </c>
    </row>
    <row r="22" customFormat="false" ht="15" hidden="false" customHeight="false" outlineLevel="0" collapsed="false">
      <c r="A22" s="3" t="s">
        <v>110</v>
      </c>
    </row>
    <row r="23" customFormat="false" ht="42" hidden="false" customHeight="true" outlineLevel="0" collapsed="false">
      <c r="A23" s="25" t="s">
        <v>111</v>
      </c>
      <c r="B23" s="25" t="s">
        <v>100</v>
      </c>
      <c r="C23" s="25" t="s">
        <v>56</v>
      </c>
      <c r="D23" s="25" t="s">
        <v>112</v>
      </c>
      <c r="E23" s="25" t="s">
        <v>113</v>
      </c>
      <c r="F23" s="25" t="s">
        <v>114</v>
      </c>
      <c r="G23" s="25" t="s">
        <v>115</v>
      </c>
      <c r="H23" s="25" t="s">
        <v>116</v>
      </c>
      <c r="I23" s="25" t="s">
        <v>117</v>
      </c>
      <c r="J23" s="25" t="s">
        <v>118</v>
      </c>
      <c r="K23" s="25" t="s">
        <v>119</v>
      </c>
      <c r="L23" s="25" t="s">
        <v>120</v>
      </c>
      <c r="M23" s="25" t="s">
        <v>121</v>
      </c>
    </row>
    <row r="24" customFormat="false" ht="15" hidden="false" customHeight="false" outlineLevel="0" collapsed="false">
      <c r="A24" s="9" t="s">
        <v>122</v>
      </c>
      <c r="B24" s="9" t="s">
        <v>104</v>
      </c>
      <c r="C24" s="31" t="n">
        <v>4</v>
      </c>
      <c r="D24" s="30" t="n">
        <f aca="false">$B$7*INDEX($B$18:$B$20,MATCH(B24,$A$18:$A$20,0))</f>
        <v>100</v>
      </c>
      <c r="E24" s="30" t="n">
        <f aca="false">$B$8*INDEX($C$18:$C$20,MATCH(B24,$A$18:$A$20,0))</f>
        <v>20</v>
      </c>
      <c r="F24" s="30" t="n">
        <f aca="false">C24*D24</f>
        <v>400</v>
      </c>
      <c r="G24" s="34" t="n">
        <f aca="false">D24/$B$6</f>
        <v>5</v>
      </c>
      <c r="H24" s="34" t="n">
        <f aca="false">F24/$B$6</f>
        <v>20</v>
      </c>
      <c r="I24" s="34" t="n">
        <f aca="false">F24/($B$6*(1+$B$10))</f>
        <v>20</v>
      </c>
      <c r="J24" s="31" t="n">
        <v>20</v>
      </c>
      <c r="K24" s="11" t="str">
        <f aca="false">IF(ABS(H24-J24)&lt;=J24*$B$13,"OK","REVISAR")</f>
        <v>OK</v>
      </c>
      <c r="L24" s="30" t="n">
        <f aca="false">ROUNDUP($B$5/(E24*(1-$B$11)),0)</f>
        <v>5</v>
      </c>
      <c r="M24" s="30" t="str">
        <f aca="false">IF(B24="Jefe",ROUNDUP($B$5/(E24*$B$12*(1-$B$11)),0),"—")</f>
        <v>—</v>
      </c>
    </row>
    <row r="25" customFormat="false" ht="15" hidden="false" customHeight="false" outlineLevel="0" collapsed="false">
      <c r="A25" s="9" t="s">
        <v>107</v>
      </c>
      <c r="B25" s="9" t="s">
        <v>106</v>
      </c>
      <c r="C25" s="31" t="n">
        <v>1</v>
      </c>
      <c r="D25" s="30" t="n">
        <f aca="false">$B$7*INDEX($B$18:$B$20,MATCH(B25,$A$18:$A$20,0))</f>
        <v>400</v>
      </c>
      <c r="E25" s="30" t="n">
        <f aca="false">$B$8*INDEX($C$18:$C$20,MATCH(B25,$A$18:$A$20,0))</f>
        <v>30</v>
      </c>
      <c r="F25" s="30" t="n">
        <f aca="false">C25*D25</f>
        <v>400</v>
      </c>
      <c r="G25" s="34" t="n">
        <f aca="false">D25/$B$6</f>
        <v>20</v>
      </c>
      <c r="H25" s="34" t="n">
        <f aca="false">F25/$B$6</f>
        <v>20</v>
      </c>
      <c r="I25" s="34" t="n">
        <f aca="false">F25/($B$6*(1+$B$10))</f>
        <v>20</v>
      </c>
      <c r="J25" s="31" t="n">
        <v>20</v>
      </c>
      <c r="K25" s="11" t="str">
        <f aca="false">IF(ABS(H25-J25)&lt;=J25*$B$13,"OK","REVISAR")</f>
        <v>OK</v>
      </c>
      <c r="L25" s="30" t="n">
        <f aca="false">ROUNDUP($B$5/(E25*(1-$B$11)),0)</f>
        <v>4</v>
      </c>
      <c r="M25" s="30" t="str">
        <f aca="false">IF(B25="Jefe",ROUNDUP($B$5/(E25*$B$12*(1-$B$11)),0),"—")</f>
        <v>—</v>
      </c>
    </row>
    <row r="26" customFormat="false" ht="15" hidden="false" customHeight="false" outlineLevel="0" collapsed="false">
      <c r="A26" s="9" t="s">
        <v>123</v>
      </c>
      <c r="B26" s="9" t="s">
        <v>108</v>
      </c>
      <c r="C26" s="31" t="n">
        <v>1</v>
      </c>
      <c r="D26" s="30" t="n">
        <f aca="false">$B$7*INDEX($B$18:$B$20,MATCH(B26,$A$18:$A$20,0))</f>
        <v>1000</v>
      </c>
      <c r="E26" s="30" t="n">
        <f aca="false">$B$8*INDEX($C$18:$C$20,MATCH(B26,$A$18:$A$20,0))</f>
        <v>40</v>
      </c>
      <c r="F26" s="30" t="n">
        <f aca="false">C26*D26</f>
        <v>1000</v>
      </c>
      <c r="G26" s="34" t="n">
        <f aca="false">D26/$B$6</f>
        <v>50</v>
      </c>
      <c r="H26" s="34" t="n">
        <f aca="false">F26/$B$6</f>
        <v>50</v>
      </c>
      <c r="I26" s="34" t="n">
        <f aca="false">F26/($B$6*(1+$B$10))</f>
        <v>50</v>
      </c>
      <c r="J26" s="31" t="n">
        <v>55</v>
      </c>
      <c r="K26" s="11" t="str">
        <f aca="false">IF(ABS(H26-J26)&lt;=J26*$B$13,"OK","REVISAR")</f>
        <v>OK</v>
      </c>
      <c r="L26" s="30" t="n">
        <f aca="false">ROUNDUP($B$5/(E26*(1-$B$11)),0)</f>
        <v>3</v>
      </c>
      <c r="M26" s="30" t="n">
        <f aca="false">IF(B26="Jefe",ROUNDUP($B$5/(E26*$B$12*(1-$B$11)),0),"—")</f>
        <v>2</v>
      </c>
    </row>
    <row r="29" customFormat="false" ht="15" hidden="false" customHeight="false" outlineLevel="0" collapsed="false">
      <c r="A29" s="3" t="s">
        <v>124</v>
      </c>
    </row>
    <row r="30" customFormat="false" ht="30" hidden="false" customHeight="true" outlineLevel="0" collapsed="false">
      <c r="A30" s="25" t="s">
        <v>111</v>
      </c>
      <c r="B30" s="25" t="s">
        <v>125</v>
      </c>
      <c r="C30" s="25" t="s">
        <v>126</v>
      </c>
      <c r="D30" s="25" t="s">
        <v>127</v>
      </c>
    </row>
    <row r="31" customFormat="false" ht="15" hidden="false" customHeight="false" outlineLevel="0" collapsed="false">
      <c r="A31" s="11" t="str">
        <f aca="false">A24</f>
        <v>Mafiosos (cancha)</v>
      </c>
      <c r="B31" s="34" t="n">
        <f aca="false">F24/($B$6*(1+0))</f>
        <v>20</v>
      </c>
      <c r="C31" s="34" t="n">
        <f aca="false">F24/($B$6*(1+$B$9/2))</f>
        <v>17.7777777777778</v>
      </c>
      <c r="D31" s="34" t="n">
        <f aca="false">F24/($B$6*(1+$B$9))</f>
        <v>16</v>
      </c>
    </row>
    <row r="32" customFormat="false" ht="15" hidden="false" customHeight="false" outlineLevel="0" collapsed="false">
      <c r="A32" s="11" t="str">
        <f aca="false">A25</f>
        <v>Renner</v>
      </c>
      <c r="B32" s="34" t="n">
        <f aca="false">F25/($B$6*(1+0))</f>
        <v>20</v>
      </c>
      <c r="C32" s="34" t="n">
        <f aca="false">F25/($B$6*(1+$B$9/2))</f>
        <v>17.7777777777778</v>
      </c>
      <c r="D32" s="34" t="n">
        <f aca="false">F25/($B$6*(1+$B$9))</f>
        <v>16</v>
      </c>
    </row>
    <row r="33" customFormat="false" ht="15" hidden="false" customHeight="false" outlineLevel="0" collapsed="false">
      <c r="A33" s="11" t="str">
        <f aca="false">A26</f>
        <v>Brankov</v>
      </c>
      <c r="B33" s="34" t="n">
        <f aca="false">F26/($B$6*(1+0))</f>
        <v>50</v>
      </c>
      <c r="C33" s="34" t="n">
        <f aca="false">F26/($B$6*(1+$B$9/2))</f>
        <v>44.4444444444444</v>
      </c>
      <c r="D33" s="34" t="n">
        <f aca="false">F26/($B$6*(1+$B$9))</f>
        <v>40</v>
      </c>
    </row>
    <row r="36" customFormat="false" ht="15" hidden="false" customHeight="false" outlineLevel="0" collapsed="false">
      <c r="A36" s="3" t="s">
        <v>128</v>
      </c>
    </row>
    <row r="37" customFormat="false" ht="15" hidden="false" customHeight="false" outlineLevel="0" collapsed="false">
      <c r="A37" s="25" t="s">
        <v>129</v>
      </c>
      <c r="B37" s="25" t="s">
        <v>130</v>
      </c>
      <c r="C37" s="25" t="s">
        <v>131</v>
      </c>
      <c r="D37" s="25" t="s">
        <v>103</v>
      </c>
    </row>
    <row r="38" customFormat="false" ht="15" hidden="false" customHeight="false" outlineLevel="0" collapsed="false">
      <c r="A38" s="9" t="s">
        <v>132</v>
      </c>
      <c r="B38" s="30" t="n">
        <f aca="false">B7</f>
        <v>100</v>
      </c>
      <c r="C38" s="30" t="n">
        <f aca="false">B8</f>
        <v>20</v>
      </c>
      <c r="D38" s="11" t="s">
        <v>133</v>
      </c>
    </row>
    <row r="39" customFormat="false" ht="15" hidden="false" customHeight="false" outlineLevel="0" collapsed="false">
      <c r="A39" s="9" t="s">
        <v>134</v>
      </c>
      <c r="B39" s="24"/>
      <c r="C39" s="24"/>
      <c r="D39" s="11" t="s">
        <v>135</v>
      </c>
    </row>
    <row r="40" customFormat="false" ht="15" hidden="false" customHeight="false" outlineLevel="0" collapsed="false">
      <c r="A40" s="9" t="s">
        <v>136</v>
      </c>
      <c r="B40" s="24"/>
      <c r="C40" s="24"/>
      <c r="D40" s="11" t="s">
        <v>135</v>
      </c>
    </row>
  </sheetData>
  <conditionalFormatting sqref="B14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1">
      <formula>"REVISAR"</formula>
    </cfRule>
    <cfRule type="cellIs" priority="4" operator="equal" aboveAverage="0" equalAverage="0" bottom="0" percent="0" rank="0" text="" dxfId="1">
      <formula>"DUPLICADO"</formula>
    </cfRule>
    <cfRule type="cellIs" priority="5" operator="equal" aboveAverage="0" equalAverage="0" bottom="0" percent="0" rank="0" text="" dxfId="2">
      <formula>"Falta llenar"</formula>
    </cfRule>
  </conditionalFormatting>
  <conditionalFormatting sqref="K24:K26">
    <cfRule type="cellIs" priority="6" operator="equal" aboveAverage="0" equalAverage="0" bottom="0" percent="0" rank="0" text="" dxfId="0">
      <formula>"OK"</formula>
    </cfRule>
    <cfRule type="cellIs" priority="7" operator="equal" aboveAverage="0" equalAverage="0" bottom="0" percent="0" rank="0" text="" dxfId="1">
      <formula>"REVISAR"</formula>
    </cfRule>
    <cfRule type="cellIs" priority="8" operator="equal" aboveAverage="0" equalAverage="0" bottom="0" percent="0" rank="0" text="" dxfId="1">
      <formula>"DUPLICADO"</formula>
    </cfRule>
    <cfRule type="cellIs" priority="9" operator="equal" aboveAverage="0" equalAverage="0" bottom="0" percent="0" rank="0" text="" dxfId="2">
      <formula>"Falta llenar"</formula>
    </cfRule>
  </conditionalFormatting>
  <dataValidations count="2">
    <dataValidation allowBlank="true" errorStyle="stop" operator="between" showDropDown="false" showErrorMessage="false" showInputMessage="false" sqref="B10:B11" type="decimal">
      <formula1>0</formula1>
      <formula2>1</formula2>
    </dataValidation>
    <dataValidation allowBlank="false" errorStyle="stop" operator="between" showDropDown="false" showErrorMessage="false" showInputMessage="false" sqref="B24:B26" type="list">
      <formula1>Listas!$D$2:$D$4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6"/>
    <col collapsed="false" customWidth="true" hidden="false" outlineLevel="0" max="3" min="3" style="0" width="22"/>
    <col collapsed="false" customWidth="true" hidden="false" outlineLevel="0" max="4" min="4" style="0" width="20"/>
    <col collapsed="false" customWidth="true" hidden="false" outlineLevel="0" max="5" min="5" style="0" width="26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20"/>
  </cols>
  <sheetData>
    <row r="1" customFormat="false" ht="17.35" hidden="false" customHeight="false" outlineLevel="0" collapsed="false">
      <c r="A1" s="1" t="s">
        <v>137</v>
      </c>
    </row>
    <row r="2" customFormat="false" ht="15" hidden="false" customHeight="false" outlineLevel="0" collapsed="false">
      <c r="A2" s="2" t="s">
        <v>138</v>
      </c>
    </row>
    <row r="4" customFormat="false" ht="15" hidden="false" customHeight="false" outlineLevel="0" collapsed="false">
      <c r="A4" s="3" t="s">
        <v>139</v>
      </c>
    </row>
    <row r="5" customFormat="false" ht="15" hidden="false" customHeight="false" outlineLevel="0" collapsed="false">
      <c r="A5" s="25" t="s">
        <v>140</v>
      </c>
      <c r="B5" s="25" t="s">
        <v>141</v>
      </c>
      <c r="C5" s="25" t="s">
        <v>142</v>
      </c>
      <c r="D5" s="25" t="s">
        <v>143</v>
      </c>
      <c r="E5" s="25" t="s">
        <v>29</v>
      </c>
      <c r="F5" s="25" t="s">
        <v>144</v>
      </c>
      <c r="G5" s="25" t="s">
        <v>145</v>
      </c>
      <c r="H5" s="25" t="s">
        <v>80</v>
      </c>
      <c r="I5" s="25" t="s">
        <v>146</v>
      </c>
    </row>
    <row r="6" customFormat="false" ht="15" hidden="false" customHeight="false" outlineLevel="0" collapsed="false">
      <c r="A6" s="9" t="s">
        <v>147</v>
      </c>
      <c r="B6" s="9" t="s">
        <v>148</v>
      </c>
      <c r="C6" s="9" t="s">
        <v>149</v>
      </c>
      <c r="D6" s="9" t="s">
        <v>150</v>
      </c>
      <c r="E6" s="9" t="s">
        <v>151</v>
      </c>
      <c r="F6" s="9" t="s">
        <v>152</v>
      </c>
      <c r="G6" s="9" t="s">
        <v>153</v>
      </c>
      <c r="H6" s="9" t="s">
        <v>154</v>
      </c>
      <c r="I6" s="11" t="str">
        <f aca="false">IF(A6="","",IF(LEFT(A6,6)&lt;&gt;"pista_","Falta prefijo pista_",IF(COUNTIF($A$6:$A$19,A6)&gt;1,"DUPLICADO","OK")))</f>
        <v>OK</v>
      </c>
    </row>
    <row r="7" customFormat="false" ht="15" hidden="false" customHeight="false" outlineLevel="0" collapsed="false">
      <c r="A7" s="9" t="s">
        <v>155</v>
      </c>
      <c r="B7" s="9" t="s">
        <v>156</v>
      </c>
      <c r="C7" s="9" t="s">
        <v>157</v>
      </c>
      <c r="D7" s="9" t="s">
        <v>158</v>
      </c>
      <c r="E7" s="9" t="s">
        <v>66</v>
      </c>
      <c r="F7" s="9" t="s">
        <v>159</v>
      </c>
      <c r="G7" s="9" t="s">
        <v>160</v>
      </c>
      <c r="H7" s="9" t="s">
        <v>154</v>
      </c>
      <c r="I7" s="11" t="str">
        <f aca="false">IF(A7="","",IF(LEFT(A7,6)&lt;&gt;"pista_","Falta prefijo pista_",IF(COUNTIF($A$6:$A$19,A7)&gt;1,"DUPLICADO","OK")))</f>
        <v>OK</v>
      </c>
    </row>
    <row r="8" customFormat="false" ht="15" hidden="false" customHeight="false" outlineLevel="0" collapsed="false">
      <c r="A8" s="9" t="s">
        <v>161</v>
      </c>
      <c r="B8" s="9" t="s">
        <v>162</v>
      </c>
      <c r="C8" s="9" t="s">
        <v>163</v>
      </c>
      <c r="D8" s="9" t="s">
        <v>164</v>
      </c>
      <c r="E8" s="9" t="s">
        <v>151</v>
      </c>
      <c r="F8" s="9" t="s">
        <v>165</v>
      </c>
      <c r="G8" s="9" t="s">
        <v>160</v>
      </c>
      <c r="H8" s="9" t="s">
        <v>154</v>
      </c>
      <c r="I8" s="11" t="str">
        <f aca="false">IF(A8="","",IF(LEFT(A8,6)&lt;&gt;"pista_","Falta prefijo pista_",IF(COUNTIF($A$6:$A$19,A8)&gt;1,"DUPLICADO","OK")))</f>
        <v>OK</v>
      </c>
    </row>
    <row r="9" customFormat="false" ht="15" hidden="false" customHeight="false" outlineLevel="0" collapsed="false">
      <c r="A9" s="9" t="s">
        <v>166</v>
      </c>
      <c r="B9" s="9" t="s">
        <v>167</v>
      </c>
      <c r="C9" s="9" t="s">
        <v>168</v>
      </c>
      <c r="D9" s="9" t="s">
        <v>169</v>
      </c>
      <c r="E9" s="9" t="s">
        <v>30</v>
      </c>
      <c r="F9" s="9" t="s">
        <v>170</v>
      </c>
      <c r="G9" s="9" t="s">
        <v>160</v>
      </c>
      <c r="H9" s="9" t="s">
        <v>154</v>
      </c>
      <c r="I9" s="11" t="str">
        <f aca="false">IF(A9="","",IF(LEFT(A9,6)&lt;&gt;"pista_","Falta prefijo pista_",IF(COUNTIF($A$6:$A$19,A9)&gt;1,"DUPLICADO","OK")))</f>
        <v>OK</v>
      </c>
    </row>
    <row r="10" customFormat="false" ht="15" hidden="false" customHeight="false" outlineLevel="0" collapsed="false">
      <c r="A10" s="7"/>
      <c r="B10" s="7"/>
      <c r="C10" s="7"/>
      <c r="D10" s="7"/>
      <c r="E10" s="7"/>
      <c r="F10" s="7"/>
      <c r="G10" s="7"/>
      <c r="H10" s="7"/>
      <c r="I10" s="11" t="str">
        <f aca="false">IF(A10="","",IF(LEFT(A10,6)&lt;&gt;"pista_","Falta prefijo pista_",IF(COUNTIF($A$6:$A$19,A10)&gt;1,"DUPLICADO","OK")))</f>
        <v/>
      </c>
    </row>
    <row r="11" customFormat="false" ht="15" hidden="false" customHeight="false" outlineLevel="0" collapsed="false">
      <c r="A11" s="7"/>
      <c r="B11" s="7"/>
      <c r="C11" s="7"/>
      <c r="D11" s="7"/>
      <c r="E11" s="7"/>
      <c r="F11" s="7"/>
      <c r="G11" s="7"/>
      <c r="H11" s="7"/>
      <c r="I11" s="11" t="str">
        <f aca="false">IF(A11="","",IF(LEFT(A11,6)&lt;&gt;"pista_","Falta prefijo pista_",IF(COUNTIF($A$6:$A$19,A11)&gt;1,"DUPLICADO","OK")))</f>
        <v/>
      </c>
    </row>
    <row r="12" customFormat="false" ht="15" hidden="false" customHeight="false" outlineLevel="0" collapsed="false">
      <c r="A12" s="7"/>
      <c r="B12" s="7"/>
      <c r="C12" s="7"/>
      <c r="D12" s="7"/>
      <c r="E12" s="7"/>
      <c r="F12" s="7"/>
      <c r="G12" s="7"/>
      <c r="H12" s="7"/>
      <c r="I12" s="11" t="str">
        <f aca="false">IF(A12="","",IF(LEFT(A12,6)&lt;&gt;"pista_","Falta prefijo pista_",IF(COUNTIF($A$6:$A$19,A12)&gt;1,"DUPLICADO","OK")))</f>
        <v/>
      </c>
    </row>
    <row r="13" customFormat="false" ht="15" hidden="false" customHeight="false" outlineLevel="0" collapsed="false">
      <c r="A13" s="7"/>
      <c r="B13" s="7"/>
      <c r="C13" s="7"/>
      <c r="D13" s="7"/>
      <c r="E13" s="7"/>
      <c r="F13" s="7"/>
      <c r="G13" s="7"/>
      <c r="H13" s="7"/>
      <c r="I13" s="11" t="str">
        <f aca="false">IF(A13="","",IF(LEFT(A13,6)&lt;&gt;"pista_","Falta prefijo pista_",IF(COUNTIF($A$6:$A$19,A13)&gt;1,"DUPLICADO","OK")))</f>
        <v/>
      </c>
    </row>
    <row r="14" customFormat="false" ht="15" hidden="false" customHeight="false" outlineLevel="0" collapsed="false">
      <c r="A14" s="7"/>
      <c r="B14" s="7"/>
      <c r="C14" s="7"/>
      <c r="D14" s="7"/>
      <c r="E14" s="7"/>
      <c r="F14" s="7"/>
      <c r="G14" s="7"/>
      <c r="H14" s="7"/>
      <c r="I14" s="11" t="str">
        <f aca="false">IF(A14="","",IF(LEFT(A14,6)&lt;&gt;"pista_","Falta prefijo pista_",IF(COUNTIF($A$6:$A$19,A14)&gt;1,"DUPLICADO","OK")))</f>
        <v/>
      </c>
    </row>
    <row r="15" customFormat="false" ht="15" hidden="false" customHeight="false" outlineLevel="0" collapsed="false">
      <c r="A15" s="7"/>
      <c r="B15" s="7"/>
      <c r="C15" s="7"/>
      <c r="D15" s="7"/>
      <c r="E15" s="7"/>
      <c r="F15" s="7"/>
      <c r="G15" s="7"/>
      <c r="H15" s="7"/>
      <c r="I15" s="11" t="str">
        <f aca="false">IF(A15="","",IF(LEFT(A15,6)&lt;&gt;"pista_","Falta prefijo pista_",IF(COUNTIF($A$6:$A$19,A15)&gt;1,"DUPLICADO","OK")))</f>
        <v/>
      </c>
    </row>
    <row r="16" customFormat="false" ht="15" hidden="false" customHeight="false" outlineLevel="0" collapsed="false">
      <c r="A16" s="7"/>
      <c r="B16" s="7"/>
      <c r="C16" s="7"/>
      <c r="D16" s="7"/>
      <c r="E16" s="7"/>
      <c r="F16" s="7"/>
      <c r="G16" s="7"/>
      <c r="H16" s="7"/>
      <c r="I16" s="11" t="str">
        <f aca="false">IF(A16="","",IF(LEFT(A16,6)&lt;&gt;"pista_","Falta prefijo pista_",IF(COUNTIF($A$6:$A$19,A16)&gt;1,"DUPLICADO","OK")))</f>
        <v/>
      </c>
    </row>
    <row r="17" customFormat="false" ht="15" hidden="false" customHeight="false" outlineLevel="0" collapsed="false">
      <c r="A17" s="7"/>
      <c r="B17" s="7"/>
      <c r="C17" s="7"/>
      <c r="D17" s="7"/>
      <c r="E17" s="7"/>
      <c r="F17" s="7"/>
      <c r="G17" s="7"/>
      <c r="H17" s="7"/>
      <c r="I17" s="11" t="str">
        <f aca="false">IF(A17="","",IF(LEFT(A17,6)&lt;&gt;"pista_","Falta prefijo pista_",IF(COUNTIF($A$6:$A$19,A17)&gt;1,"DUPLICADO","OK")))</f>
        <v/>
      </c>
    </row>
    <row r="18" customFormat="false" ht="15" hidden="false" customHeight="false" outlineLevel="0" collapsed="false">
      <c r="A18" s="7"/>
      <c r="B18" s="7"/>
      <c r="C18" s="7"/>
      <c r="D18" s="7"/>
      <c r="E18" s="7"/>
      <c r="F18" s="7"/>
      <c r="G18" s="7"/>
      <c r="H18" s="7"/>
      <c r="I18" s="11" t="str">
        <f aca="false">IF(A18="","",IF(LEFT(A18,6)&lt;&gt;"pista_","Falta prefijo pista_",IF(COUNTIF($A$6:$A$19,A18)&gt;1,"DUPLICADO","OK")))</f>
        <v/>
      </c>
    </row>
    <row r="19" customFormat="false" ht="15" hidden="false" customHeight="false" outlineLevel="0" collapsed="false">
      <c r="A19" s="7"/>
      <c r="B19" s="7"/>
      <c r="C19" s="7"/>
      <c r="D19" s="7"/>
      <c r="E19" s="7"/>
      <c r="F19" s="7"/>
      <c r="G19" s="7"/>
      <c r="H19" s="7"/>
      <c r="I19" s="11" t="str">
        <f aca="false">IF(A19="","",IF(LEFT(A19,6)&lt;&gt;"pista_","Falta prefijo pista_",IF(COUNTIF($A$6:$A$19,A19)&gt;1,"DUPLICADO","OK")))</f>
        <v/>
      </c>
    </row>
    <row r="22" customFormat="false" ht="15" hidden="false" customHeight="false" outlineLevel="0" collapsed="false">
      <c r="A22" s="3" t="s">
        <v>171</v>
      </c>
    </row>
    <row r="23" customFormat="false" ht="15" hidden="false" customHeight="false" outlineLevel="0" collapsed="false">
      <c r="A23" s="25" t="s">
        <v>140</v>
      </c>
      <c r="B23" s="25" t="s">
        <v>172</v>
      </c>
      <c r="C23" s="25" t="s">
        <v>173</v>
      </c>
      <c r="D23" s="25" t="s">
        <v>174</v>
      </c>
      <c r="E23" s="25" t="s">
        <v>175</v>
      </c>
      <c r="F23" s="25" t="s">
        <v>80</v>
      </c>
      <c r="G23" s="25" t="s">
        <v>146</v>
      </c>
    </row>
    <row r="24" customFormat="false" ht="15" hidden="false" customHeight="false" outlineLevel="0" collapsed="false">
      <c r="A24" s="9" t="s">
        <v>176</v>
      </c>
      <c r="B24" s="9" t="s">
        <v>177</v>
      </c>
      <c r="C24" s="9" t="s">
        <v>178</v>
      </c>
      <c r="D24" s="9" t="s">
        <v>152</v>
      </c>
      <c r="E24" s="9" t="s">
        <v>179</v>
      </c>
      <c r="F24" s="9" t="s">
        <v>154</v>
      </c>
      <c r="G24" s="11" t="str">
        <f aca="false">IF(A24="","",IF(LEFT(A24,8)&lt;&gt;"bandera_","Falta prefijo bandera_",IF(COUNTIF($A$24:$A$39,A24)&gt;1,"DUPLICADO","OK")))</f>
        <v>OK</v>
      </c>
    </row>
    <row r="25" customFormat="false" ht="15" hidden="false" customHeight="false" outlineLevel="0" collapsed="false">
      <c r="A25" s="9" t="s">
        <v>180</v>
      </c>
      <c r="B25" s="9" t="s">
        <v>181</v>
      </c>
      <c r="C25" s="9" t="s">
        <v>178</v>
      </c>
      <c r="D25" s="9" t="s">
        <v>182</v>
      </c>
      <c r="E25" s="9" t="s">
        <v>183</v>
      </c>
      <c r="F25" s="9" t="s">
        <v>154</v>
      </c>
      <c r="G25" s="11" t="str">
        <f aca="false">IF(A25="","",IF(LEFT(A25,8)&lt;&gt;"bandera_","Falta prefijo bandera_",IF(COUNTIF($A$24:$A$39,A25)&gt;1,"DUPLICADO","OK")))</f>
        <v>OK</v>
      </c>
    </row>
    <row r="26" customFormat="false" ht="15" hidden="false" customHeight="false" outlineLevel="0" collapsed="false">
      <c r="A26" s="9" t="s">
        <v>184</v>
      </c>
      <c r="B26" s="9" t="s">
        <v>185</v>
      </c>
      <c r="C26" s="9" t="s">
        <v>178</v>
      </c>
      <c r="D26" s="9" t="s">
        <v>186</v>
      </c>
      <c r="E26" s="9" t="s">
        <v>187</v>
      </c>
      <c r="F26" s="9" t="s">
        <v>154</v>
      </c>
      <c r="G26" s="11" t="str">
        <f aca="false">IF(A26="","",IF(LEFT(A26,8)&lt;&gt;"bandera_","Falta prefijo bandera_",IF(COUNTIF($A$24:$A$39,A26)&gt;1,"DUPLICADO","OK")))</f>
        <v>OK</v>
      </c>
    </row>
    <row r="27" customFormat="false" ht="15" hidden="false" customHeight="false" outlineLevel="0" collapsed="false">
      <c r="A27" s="9" t="s">
        <v>188</v>
      </c>
      <c r="B27" s="9" t="s">
        <v>189</v>
      </c>
      <c r="C27" s="9" t="s">
        <v>178</v>
      </c>
      <c r="D27" s="9" t="s">
        <v>190</v>
      </c>
      <c r="E27" s="9" t="s">
        <v>191</v>
      </c>
      <c r="F27" s="9" t="s">
        <v>154</v>
      </c>
      <c r="G27" s="11" t="str">
        <f aca="false">IF(A27="","",IF(LEFT(A27,8)&lt;&gt;"bandera_","Falta prefijo bandera_",IF(COUNTIF($A$24:$A$39,A27)&gt;1,"DUPLICADO","OK")))</f>
        <v>OK</v>
      </c>
    </row>
    <row r="28" customFormat="false" ht="15" hidden="false" customHeight="false" outlineLevel="0" collapsed="false">
      <c r="A28" s="9" t="s">
        <v>192</v>
      </c>
      <c r="B28" s="9" t="s">
        <v>193</v>
      </c>
      <c r="C28" s="9" t="s">
        <v>178</v>
      </c>
      <c r="D28" s="9" t="s">
        <v>194</v>
      </c>
      <c r="E28" s="9" t="s">
        <v>195</v>
      </c>
      <c r="F28" s="9" t="s">
        <v>154</v>
      </c>
      <c r="G28" s="11" t="str">
        <f aca="false">IF(A28="","",IF(LEFT(A28,8)&lt;&gt;"bandera_","Falta prefijo bandera_",IF(COUNTIF($A$24:$A$39,A28)&gt;1,"DUPLICADO","OK")))</f>
        <v>OK</v>
      </c>
    </row>
    <row r="29" customFormat="false" ht="15" hidden="false" customHeight="false" outlineLevel="0" collapsed="false">
      <c r="A29" s="9" t="s">
        <v>196</v>
      </c>
      <c r="B29" s="9" t="s">
        <v>197</v>
      </c>
      <c r="C29" s="9" t="s">
        <v>178</v>
      </c>
      <c r="D29" s="9" t="s">
        <v>198</v>
      </c>
      <c r="E29" s="9" t="s">
        <v>199</v>
      </c>
      <c r="F29" s="9" t="s">
        <v>154</v>
      </c>
      <c r="G29" s="11" t="str">
        <f aca="false">IF(A29="","",IF(LEFT(A29,8)&lt;&gt;"bandera_","Falta prefijo bandera_",IF(COUNTIF($A$24:$A$39,A29)&gt;1,"DUPLICADO","OK")))</f>
        <v>OK</v>
      </c>
    </row>
    <row r="30" customFormat="false" ht="15" hidden="false" customHeight="false" outlineLevel="0" collapsed="false">
      <c r="A30" s="9" t="s">
        <v>200</v>
      </c>
      <c r="B30" s="9" t="s">
        <v>201</v>
      </c>
      <c r="C30" s="9" t="s">
        <v>178</v>
      </c>
      <c r="D30" s="9" t="s">
        <v>198</v>
      </c>
      <c r="E30" s="9" t="s">
        <v>199</v>
      </c>
      <c r="F30" s="9" t="s">
        <v>154</v>
      </c>
      <c r="G30" s="11" t="str">
        <f aca="false">IF(A30="","",IF(LEFT(A30,8)&lt;&gt;"bandera_","Falta prefijo bandera_",IF(COUNTIF($A$24:$A$39,A30)&gt;1,"DUPLICADO","OK")))</f>
        <v>OK</v>
      </c>
    </row>
    <row r="31" customFormat="false" ht="15" hidden="false" customHeight="false" outlineLevel="0" collapsed="false">
      <c r="A31" s="9" t="s">
        <v>202</v>
      </c>
      <c r="B31" s="9" t="s">
        <v>203</v>
      </c>
      <c r="C31" s="9" t="s">
        <v>204</v>
      </c>
      <c r="D31" s="9" t="s">
        <v>205</v>
      </c>
      <c r="E31" s="9" t="s">
        <v>206</v>
      </c>
      <c r="F31" s="9" t="s">
        <v>154</v>
      </c>
      <c r="G31" s="11" t="str">
        <f aca="false">IF(A31="","",IF(LEFT(A31,8)&lt;&gt;"bandera_","Falta prefijo bandera_",IF(COUNTIF($A$24:$A$39,A31)&gt;1,"DUPLICADO","OK")))</f>
        <v>OK</v>
      </c>
    </row>
    <row r="32" customFormat="false" ht="15" hidden="false" customHeight="false" outlineLevel="0" collapsed="false">
      <c r="A32" s="9" t="s">
        <v>207</v>
      </c>
      <c r="B32" s="9" t="s">
        <v>208</v>
      </c>
      <c r="C32" s="9" t="s">
        <v>209</v>
      </c>
      <c r="D32" s="9" t="s">
        <v>210</v>
      </c>
      <c r="E32" s="9" t="s">
        <v>211</v>
      </c>
      <c r="F32" s="9" t="s">
        <v>154</v>
      </c>
      <c r="G32" s="11" t="str">
        <f aca="false">IF(A32="","",IF(LEFT(A32,8)&lt;&gt;"bandera_","Falta prefijo bandera_",IF(COUNTIF($A$24:$A$39,A32)&gt;1,"DUPLICADO","OK")))</f>
        <v>OK</v>
      </c>
    </row>
    <row r="33" customFormat="false" ht="15" hidden="false" customHeight="false" outlineLevel="0" collapsed="false">
      <c r="A33" s="7"/>
      <c r="B33" s="7"/>
      <c r="C33" s="7"/>
      <c r="D33" s="7"/>
      <c r="E33" s="7"/>
      <c r="F33" s="7"/>
      <c r="G33" s="11" t="str">
        <f aca="false">IF(A33="","",IF(LEFT(A33,8)&lt;&gt;"bandera_","Falta prefijo bandera_",IF(COUNTIF($A$24:$A$39,A33)&gt;1,"DUPLICADO","OK")))</f>
        <v/>
      </c>
    </row>
    <row r="34" customFormat="false" ht="15" hidden="false" customHeight="false" outlineLevel="0" collapsed="false">
      <c r="A34" s="7"/>
      <c r="B34" s="7"/>
      <c r="C34" s="7"/>
      <c r="D34" s="7"/>
      <c r="E34" s="7"/>
      <c r="F34" s="7"/>
      <c r="G34" s="11" t="str">
        <f aca="false">IF(A34="","",IF(LEFT(A34,8)&lt;&gt;"bandera_","Falta prefijo bandera_",IF(COUNTIF($A$24:$A$39,A34)&gt;1,"DUPLICADO","OK")))</f>
        <v/>
      </c>
    </row>
    <row r="35" customFormat="false" ht="15" hidden="false" customHeight="false" outlineLevel="0" collapsed="false">
      <c r="A35" s="7"/>
      <c r="B35" s="7"/>
      <c r="C35" s="7"/>
      <c r="D35" s="7"/>
      <c r="E35" s="7"/>
      <c r="F35" s="7"/>
      <c r="G35" s="11" t="str">
        <f aca="false">IF(A35="","",IF(LEFT(A35,8)&lt;&gt;"bandera_","Falta prefijo bandera_",IF(COUNTIF($A$24:$A$39,A35)&gt;1,"DUPLICADO","OK")))</f>
        <v/>
      </c>
    </row>
    <row r="36" customFormat="false" ht="15" hidden="false" customHeight="false" outlineLevel="0" collapsed="false">
      <c r="A36" s="7"/>
      <c r="B36" s="7"/>
      <c r="C36" s="7"/>
      <c r="D36" s="7"/>
      <c r="E36" s="7"/>
      <c r="F36" s="7"/>
      <c r="G36" s="11" t="str">
        <f aca="false">IF(A36="","",IF(LEFT(A36,8)&lt;&gt;"bandera_","Falta prefijo bandera_",IF(COUNTIF($A$24:$A$39,A36)&gt;1,"DUPLICADO","OK")))</f>
        <v/>
      </c>
    </row>
    <row r="37" customFormat="false" ht="15" hidden="false" customHeight="false" outlineLevel="0" collapsed="false">
      <c r="A37" s="7"/>
      <c r="B37" s="7"/>
      <c r="C37" s="7"/>
      <c r="D37" s="7"/>
      <c r="E37" s="7"/>
      <c r="F37" s="7"/>
      <c r="G37" s="11" t="str">
        <f aca="false">IF(A37="","",IF(LEFT(A37,8)&lt;&gt;"bandera_","Falta prefijo bandera_",IF(COUNTIF($A$24:$A$39,A37)&gt;1,"DUPLICADO","OK")))</f>
        <v/>
      </c>
    </row>
    <row r="38" customFormat="false" ht="15" hidden="false" customHeight="false" outlineLevel="0" collapsed="false">
      <c r="A38" s="7"/>
      <c r="B38" s="7"/>
      <c r="C38" s="7"/>
      <c r="D38" s="7"/>
      <c r="E38" s="7"/>
      <c r="F38" s="7"/>
      <c r="G38" s="11" t="str">
        <f aca="false">IF(A38="","",IF(LEFT(A38,8)&lt;&gt;"bandera_","Falta prefijo bandera_",IF(COUNTIF($A$24:$A$39,A38)&gt;1,"DUPLICADO","OK")))</f>
        <v/>
      </c>
    </row>
    <row r="39" customFormat="false" ht="15" hidden="false" customHeight="false" outlineLevel="0" collapsed="false">
      <c r="A39" s="7"/>
      <c r="B39" s="7"/>
      <c r="C39" s="7"/>
      <c r="D39" s="7"/>
      <c r="E39" s="7"/>
      <c r="F39" s="7"/>
      <c r="G39" s="11" t="str">
        <f aca="false">IF(A39="","",IF(LEFT(A39,8)&lt;&gt;"bandera_","Falta prefijo bandera_",IF(COUNTIF($A$24:$A$39,A39)&gt;1,"DUPLICADO","OK")))</f>
        <v/>
      </c>
    </row>
    <row r="42" customFormat="false" ht="15" hidden="false" customHeight="false" outlineLevel="0" collapsed="false">
      <c r="A42" s="3" t="s">
        <v>212</v>
      </c>
    </row>
    <row r="43" customFormat="false" ht="23.85" hidden="false" customHeight="false" outlineLevel="0" collapsed="false">
      <c r="A43" s="25" t="s">
        <v>140</v>
      </c>
      <c r="B43" s="25" t="s">
        <v>213</v>
      </c>
      <c r="C43" s="25" t="s">
        <v>214</v>
      </c>
      <c r="D43" s="25" t="s">
        <v>144</v>
      </c>
      <c r="E43" s="25" t="s">
        <v>145</v>
      </c>
      <c r="F43" s="25" t="s">
        <v>215</v>
      </c>
      <c r="G43" s="25" t="s">
        <v>146</v>
      </c>
    </row>
    <row r="44" customFormat="false" ht="15" hidden="false" customHeight="false" outlineLevel="0" collapsed="false">
      <c r="A44" s="9" t="s">
        <v>216</v>
      </c>
      <c r="B44" s="9" t="s">
        <v>217</v>
      </c>
      <c r="C44" s="9" t="s">
        <v>218</v>
      </c>
      <c r="D44" s="9" t="s">
        <v>219</v>
      </c>
      <c r="E44" s="9" t="s">
        <v>220</v>
      </c>
      <c r="F44" s="9" t="s">
        <v>221</v>
      </c>
      <c r="G44" s="11" t="str">
        <f aca="false">IF(A44="","",IF(COUNTIF($A$44:$A$61,A44)&gt;1,"DUPLICADO","OK"))</f>
        <v>OK</v>
      </c>
    </row>
    <row r="45" customFormat="false" ht="15" hidden="false" customHeight="false" outlineLevel="0" collapsed="false">
      <c r="A45" s="9" t="s">
        <v>222</v>
      </c>
      <c r="B45" s="9" t="s">
        <v>223</v>
      </c>
      <c r="C45" s="9" t="s">
        <v>218</v>
      </c>
      <c r="D45" s="9" t="s">
        <v>219</v>
      </c>
      <c r="E45" s="9" t="s">
        <v>220</v>
      </c>
      <c r="F45" s="9" t="s">
        <v>221</v>
      </c>
      <c r="G45" s="11" t="str">
        <f aca="false">IF(A45="","",IF(COUNTIF($A$44:$A$61,A45)&gt;1,"DUPLICADO","OK"))</f>
        <v>OK</v>
      </c>
    </row>
    <row r="46" customFormat="false" ht="15" hidden="false" customHeight="false" outlineLevel="0" collapsed="false">
      <c r="A46" s="9" t="s">
        <v>224</v>
      </c>
      <c r="B46" s="9" t="s">
        <v>150</v>
      </c>
      <c r="C46" s="9" t="s">
        <v>149</v>
      </c>
      <c r="D46" s="9" t="s">
        <v>152</v>
      </c>
      <c r="E46" s="9" t="s">
        <v>153</v>
      </c>
      <c r="F46" s="9" t="s">
        <v>221</v>
      </c>
      <c r="G46" s="11" t="str">
        <f aca="false">IF(A46="","",IF(COUNTIF($A$44:$A$61,A46)&gt;1,"DUPLICADO","OK"))</f>
        <v>OK</v>
      </c>
    </row>
    <row r="47" customFormat="false" ht="15" hidden="false" customHeight="false" outlineLevel="0" collapsed="false">
      <c r="A47" s="9" t="s">
        <v>225</v>
      </c>
      <c r="B47" s="9" t="s">
        <v>226</v>
      </c>
      <c r="C47" s="9" t="s">
        <v>227</v>
      </c>
      <c r="D47" s="9" t="s">
        <v>228</v>
      </c>
      <c r="E47" s="9" t="s">
        <v>160</v>
      </c>
      <c r="F47" s="9" t="s">
        <v>221</v>
      </c>
      <c r="G47" s="11" t="str">
        <f aca="false">IF(A47="","",IF(COUNTIF($A$44:$A$61,A47)&gt;1,"DUPLICADO","OK"))</f>
        <v>OK</v>
      </c>
    </row>
    <row r="48" customFormat="false" ht="15" hidden="false" customHeight="false" outlineLevel="0" collapsed="false">
      <c r="A48" s="9" t="s">
        <v>229</v>
      </c>
      <c r="B48" s="9" t="s">
        <v>158</v>
      </c>
      <c r="C48" s="9" t="s">
        <v>157</v>
      </c>
      <c r="D48" s="9" t="s">
        <v>159</v>
      </c>
      <c r="E48" s="9" t="s">
        <v>160</v>
      </c>
      <c r="F48" s="9" t="s">
        <v>221</v>
      </c>
      <c r="G48" s="11" t="str">
        <f aca="false">IF(A48="","",IF(COUNTIF($A$44:$A$61,A48)&gt;1,"DUPLICADO","OK"))</f>
        <v>OK</v>
      </c>
    </row>
    <row r="49" customFormat="false" ht="15" hidden="false" customHeight="false" outlineLevel="0" collapsed="false">
      <c r="A49" s="9" t="s">
        <v>230</v>
      </c>
      <c r="B49" s="9" t="s">
        <v>164</v>
      </c>
      <c r="C49" s="9" t="s">
        <v>163</v>
      </c>
      <c r="D49" s="9" t="s">
        <v>165</v>
      </c>
      <c r="E49" s="9" t="s">
        <v>160</v>
      </c>
      <c r="F49" s="9" t="s">
        <v>221</v>
      </c>
      <c r="G49" s="11" t="str">
        <f aca="false">IF(A49="","",IF(COUNTIF($A$44:$A$61,A49)&gt;1,"DUPLICADO","OK"))</f>
        <v>OK</v>
      </c>
    </row>
    <row r="50" customFormat="false" ht="15" hidden="false" customHeight="false" outlineLevel="0" collapsed="false">
      <c r="A50" s="9" t="s">
        <v>231</v>
      </c>
      <c r="B50" s="9" t="s">
        <v>169</v>
      </c>
      <c r="C50" s="9" t="s">
        <v>168</v>
      </c>
      <c r="D50" s="9" t="s">
        <v>170</v>
      </c>
      <c r="E50" s="9" t="s">
        <v>160</v>
      </c>
      <c r="F50" s="9" t="s">
        <v>221</v>
      </c>
      <c r="G50" s="11" t="str">
        <f aca="false">IF(A50="","",IF(COUNTIF($A$44:$A$61,A50)&gt;1,"DUPLICADO","OK"))</f>
        <v>OK</v>
      </c>
    </row>
    <row r="51" customFormat="false" ht="15" hidden="false" customHeight="false" outlineLevel="0" collapsed="false">
      <c r="A51" s="9" t="s">
        <v>232</v>
      </c>
      <c r="B51" s="9" t="s">
        <v>233</v>
      </c>
      <c r="C51" s="9" t="s">
        <v>234</v>
      </c>
      <c r="D51" s="9" t="s">
        <v>235</v>
      </c>
      <c r="E51" s="9" t="s">
        <v>160</v>
      </c>
      <c r="F51" s="9" t="s">
        <v>221</v>
      </c>
      <c r="G51" s="11" t="str">
        <f aca="false">IF(A51="","",IF(COUNTIF($A$44:$A$61,A51)&gt;1,"DUPLICADO","OK"))</f>
        <v>OK</v>
      </c>
    </row>
    <row r="52" customFormat="false" ht="15" hidden="false" customHeight="false" outlineLevel="0" collapsed="false">
      <c r="A52" s="9" t="s">
        <v>236</v>
      </c>
      <c r="B52" s="9" t="s">
        <v>237</v>
      </c>
      <c r="C52" s="9" t="s">
        <v>238</v>
      </c>
      <c r="D52" s="9" t="s">
        <v>239</v>
      </c>
      <c r="E52" s="9" t="s">
        <v>160</v>
      </c>
      <c r="F52" s="9" t="s">
        <v>221</v>
      </c>
      <c r="G52" s="11" t="str">
        <f aca="false">IF(A52="","",IF(COUNTIF($A$44:$A$61,A52)&gt;1,"DUPLICADO","OK"))</f>
        <v>OK</v>
      </c>
    </row>
    <row r="53" customFormat="false" ht="15" hidden="false" customHeight="false" outlineLevel="0" collapsed="false">
      <c r="A53" s="9" t="s">
        <v>240</v>
      </c>
      <c r="B53" s="9" t="s">
        <v>241</v>
      </c>
      <c r="C53" s="9" t="s">
        <v>242</v>
      </c>
      <c r="D53" s="9" t="s">
        <v>190</v>
      </c>
      <c r="E53" s="9" t="s">
        <v>243</v>
      </c>
      <c r="F53" s="9" t="s">
        <v>221</v>
      </c>
      <c r="G53" s="11" t="str">
        <f aca="false">IF(A53="","",IF(COUNTIF($A$44:$A$61,A53)&gt;1,"DUPLICADO","OK"))</f>
        <v>OK</v>
      </c>
    </row>
    <row r="54" customFormat="false" ht="15" hidden="false" customHeight="false" outlineLevel="0" collapsed="false">
      <c r="A54" s="9" t="s">
        <v>244</v>
      </c>
      <c r="B54" s="9" t="s">
        <v>245</v>
      </c>
      <c r="C54" s="9" t="s">
        <v>246</v>
      </c>
      <c r="D54" s="9" t="s">
        <v>194</v>
      </c>
      <c r="E54" s="9" t="s">
        <v>243</v>
      </c>
      <c r="F54" s="9" t="s">
        <v>221</v>
      </c>
      <c r="G54" s="11" t="str">
        <f aca="false">IF(A54="","",IF(COUNTIF($A$44:$A$61,A54)&gt;1,"DUPLICADO","OK"))</f>
        <v>OK</v>
      </c>
    </row>
    <row r="55" customFormat="false" ht="15" hidden="false" customHeight="false" outlineLevel="0" collapsed="false">
      <c r="A55" s="9" t="s">
        <v>247</v>
      </c>
      <c r="B55" s="9" t="s">
        <v>248</v>
      </c>
      <c r="C55" s="9" t="s">
        <v>249</v>
      </c>
      <c r="D55" s="9" t="s">
        <v>198</v>
      </c>
      <c r="E55" s="9" t="s">
        <v>243</v>
      </c>
      <c r="F55" s="9" t="s">
        <v>221</v>
      </c>
      <c r="G55" s="11" t="str">
        <f aca="false">IF(A55="","",IF(COUNTIF($A$44:$A$61,A55)&gt;1,"DUPLICADO","OK"))</f>
        <v>OK</v>
      </c>
    </row>
    <row r="56" customFormat="false" ht="15" hidden="false" customHeight="false" outlineLevel="0" collapsed="false">
      <c r="A56" s="9" t="s">
        <v>250</v>
      </c>
      <c r="B56" s="9" t="s">
        <v>107</v>
      </c>
      <c r="C56" s="9" t="s">
        <v>251</v>
      </c>
      <c r="D56" s="9" t="s">
        <v>252</v>
      </c>
      <c r="E56" s="9" t="s">
        <v>253</v>
      </c>
      <c r="F56" s="9" t="s">
        <v>221</v>
      </c>
      <c r="G56" s="11" t="str">
        <f aca="false">IF(A56="","",IF(COUNTIF($A$44:$A$61,A56)&gt;1,"DUPLICADO","OK"))</f>
        <v>OK</v>
      </c>
    </row>
    <row r="57" customFormat="false" ht="15" hidden="false" customHeight="false" outlineLevel="0" collapsed="false">
      <c r="A57" s="9" t="s">
        <v>254</v>
      </c>
      <c r="B57" s="9" t="s">
        <v>123</v>
      </c>
      <c r="C57" s="9" t="s">
        <v>255</v>
      </c>
      <c r="D57" s="9" t="s">
        <v>210</v>
      </c>
      <c r="E57" s="9" t="s">
        <v>253</v>
      </c>
      <c r="F57" s="9" t="s">
        <v>221</v>
      </c>
      <c r="G57" s="11" t="str">
        <f aca="false">IF(A57="","",IF(COUNTIF($A$44:$A$61,A57)&gt;1,"DUPLICADO","OK"))</f>
        <v>OK</v>
      </c>
    </row>
    <row r="58" customFormat="false" ht="15" hidden="false" customHeight="false" outlineLevel="0" collapsed="false">
      <c r="A58" s="7"/>
      <c r="B58" s="7"/>
      <c r="C58" s="7"/>
      <c r="D58" s="7"/>
      <c r="E58" s="7"/>
      <c r="F58" s="7"/>
      <c r="G58" s="11" t="str">
        <f aca="false">IF(A58="","",IF(COUNTIF($A$44:$A$61,A58)&gt;1,"DUPLICADO","OK"))</f>
        <v/>
      </c>
    </row>
    <row r="59" customFormat="false" ht="15" hidden="false" customHeight="false" outlineLevel="0" collapsed="false">
      <c r="A59" s="7"/>
      <c r="B59" s="7"/>
      <c r="C59" s="7"/>
      <c r="D59" s="7"/>
      <c r="E59" s="7"/>
      <c r="F59" s="7"/>
      <c r="G59" s="11" t="str">
        <f aca="false">IF(A59="","",IF(COUNTIF($A$44:$A$61,A59)&gt;1,"DUPLICADO","OK"))</f>
        <v/>
      </c>
    </row>
    <row r="60" customFormat="false" ht="15" hidden="false" customHeight="false" outlineLevel="0" collapsed="false">
      <c r="A60" s="7"/>
      <c r="B60" s="7"/>
      <c r="C60" s="7"/>
      <c r="D60" s="7"/>
      <c r="E60" s="7"/>
      <c r="F60" s="7"/>
      <c r="G60" s="11" t="str">
        <f aca="false">IF(A60="","",IF(COUNTIF($A$44:$A$61,A60)&gt;1,"DUPLICADO","OK"))</f>
        <v/>
      </c>
    </row>
    <row r="61" customFormat="false" ht="15" hidden="false" customHeight="false" outlineLevel="0" collapsed="false">
      <c r="A61" s="7"/>
      <c r="B61" s="7"/>
      <c r="C61" s="7"/>
      <c r="D61" s="7"/>
      <c r="E61" s="7"/>
      <c r="F61" s="7"/>
      <c r="G61" s="11" t="str">
        <f aca="false">IF(A61="","",IF(COUNTIF($A$44:$A$61,A61)&gt;1,"DUPLICADO","OK"))</f>
        <v/>
      </c>
    </row>
    <row r="64" customFormat="false" ht="15" hidden="false" customHeight="false" outlineLevel="0" collapsed="false">
      <c r="A64" s="3" t="s">
        <v>256</v>
      </c>
    </row>
    <row r="65" customFormat="false" ht="15" hidden="false" customHeight="false" outlineLevel="0" collapsed="false">
      <c r="A65" s="25" t="s">
        <v>140</v>
      </c>
      <c r="B65" s="25" t="s">
        <v>213</v>
      </c>
      <c r="C65" s="25" t="s">
        <v>257</v>
      </c>
      <c r="D65" s="25" t="s">
        <v>146</v>
      </c>
    </row>
    <row r="66" customFormat="false" ht="15" hidden="false" customHeight="false" outlineLevel="0" collapsed="false">
      <c r="A66" s="9" t="s">
        <v>258</v>
      </c>
      <c r="B66" s="9" t="s">
        <v>259</v>
      </c>
      <c r="C66" s="9" t="s">
        <v>260</v>
      </c>
      <c r="D66" s="11" t="str">
        <f aca="false">IF(A66="","",IF(COUNTIF($A$66:$A$70,A66)&gt;1,"DUPLICADO","OK"))</f>
        <v>OK</v>
      </c>
    </row>
    <row r="67" customFormat="false" ht="15" hidden="false" customHeight="false" outlineLevel="0" collapsed="false">
      <c r="A67" s="7"/>
      <c r="B67" s="7"/>
      <c r="C67" s="7"/>
      <c r="D67" s="11" t="str">
        <f aca="false">IF(A67="","",IF(COUNTIF($A$66:$A$70,A67)&gt;1,"DUPLICADO","OK"))</f>
        <v/>
      </c>
    </row>
    <row r="68" customFormat="false" ht="15" hidden="false" customHeight="false" outlineLevel="0" collapsed="false">
      <c r="A68" s="7"/>
      <c r="B68" s="7"/>
      <c r="C68" s="7"/>
      <c r="D68" s="11" t="str">
        <f aca="false">IF(A68="","",IF(COUNTIF($A$66:$A$70,A68)&gt;1,"DUPLICADO","OK"))</f>
        <v/>
      </c>
    </row>
    <row r="69" customFormat="false" ht="15" hidden="false" customHeight="false" outlineLevel="0" collapsed="false">
      <c r="A69" s="7"/>
      <c r="B69" s="7"/>
      <c r="C69" s="7"/>
      <c r="D69" s="11" t="str">
        <f aca="false">IF(A69="","",IF(COUNTIF($A$66:$A$70,A69)&gt;1,"DUPLICADO","OK"))</f>
        <v/>
      </c>
    </row>
    <row r="70" customFormat="false" ht="15" hidden="false" customHeight="false" outlineLevel="0" collapsed="false">
      <c r="A70" s="7"/>
      <c r="B70" s="7"/>
      <c r="C70" s="7"/>
      <c r="D70" s="11" t="str">
        <f aca="false">IF(A70="","",IF(COUNTIF($A$66:$A$70,A70)&gt;1,"DUPLICADO","OK"))</f>
        <v/>
      </c>
    </row>
  </sheetData>
  <conditionalFormatting sqref="I6:I19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1">
      <formula>"REVISAR"</formula>
    </cfRule>
    <cfRule type="cellIs" priority="4" operator="equal" aboveAverage="0" equalAverage="0" bottom="0" percent="0" rank="0" text="" dxfId="1">
      <formula>"DUPLICADO"</formula>
    </cfRule>
    <cfRule type="cellIs" priority="5" operator="equal" aboveAverage="0" equalAverage="0" bottom="0" percent="0" rank="0" text="" dxfId="2">
      <formula>"Falta llenar"</formula>
    </cfRule>
    <cfRule type="expression" priority="6" aboveAverage="0" equalAverage="0" bottom="0" percent="0" rank="0" text="" dxfId="1">
      <formula>LEFT(I6,13)="Falta prefijo"</formula>
    </cfRule>
  </conditionalFormatting>
  <conditionalFormatting sqref="G24:G39">
    <cfRule type="cellIs" priority="7" operator="equal" aboveAverage="0" equalAverage="0" bottom="0" percent="0" rank="0" text="" dxfId="0">
      <formula>"OK"</formula>
    </cfRule>
    <cfRule type="cellIs" priority="8" operator="equal" aboveAverage="0" equalAverage="0" bottom="0" percent="0" rank="0" text="" dxfId="1">
      <formula>"REVISAR"</formula>
    </cfRule>
    <cfRule type="cellIs" priority="9" operator="equal" aboveAverage="0" equalAverage="0" bottom="0" percent="0" rank="0" text="" dxfId="1">
      <formula>"DUPLICADO"</formula>
    </cfRule>
    <cfRule type="cellIs" priority="10" operator="equal" aboveAverage="0" equalAverage="0" bottom="0" percent="0" rank="0" text="" dxfId="2">
      <formula>"Falta llenar"</formula>
    </cfRule>
    <cfRule type="expression" priority="11" aboveAverage="0" equalAverage="0" bottom="0" percent="0" rank="0" text="" dxfId="1">
      <formula>LEFT(G24,13)="Falta prefijo"</formula>
    </cfRule>
  </conditionalFormatting>
  <conditionalFormatting sqref="G44:G61">
    <cfRule type="cellIs" priority="12" operator="equal" aboveAverage="0" equalAverage="0" bottom="0" percent="0" rank="0" text="" dxfId="0">
      <formula>"OK"</formula>
    </cfRule>
    <cfRule type="cellIs" priority="13" operator="equal" aboveAverage="0" equalAverage="0" bottom="0" percent="0" rank="0" text="" dxfId="1">
      <formula>"REVISAR"</formula>
    </cfRule>
    <cfRule type="cellIs" priority="14" operator="equal" aboveAverage="0" equalAverage="0" bottom="0" percent="0" rank="0" text="" dxfId="1">
      <formula>"DUPLICADO"</formula>
    </cfRule>
    <cfRule type="cellIs" priority="15" operator="equal" aboveAverage="0" equalAverage="0" bottom="0" percent="0" rank="0" text="" dxfId="2">
      <formula>"Falta llenar"</formula>
    </cfRule>
    <cfRule type="expression" priority="16" aboveAverage="0" equalAverage="0" bottom="0" percent="0" rank="0" text="" dxfId="1">
      <formula>LEFT(G44,13)="Falta prefijo"</formula>
    </cfRule>
  </conditionalFormatting>
  <conditionalFormatting sqref="D66:D70">
    <cfRule type="cellIs" priority="17" operator="equal" aboveAverage="0" equalAverage="0" bottom="0" percent="0" rank="0" text="" dxfId="0">
      <formula>"OK"</formula>
    </cfRule>
    <cfRule type="cellIs" priority="18" operator="equal" aboveAverage="0" equalAverage="0" bottom="0" percent="0" rank="0" text="" dxfId="1">
      <formula>"REVISAR"</formula>
    </cfRule>
    <cfRule type="cellIs" priority="19" operator="equal" aboveAverage="0" equalAverage="0" bottom="0" percent="0" rank="0" text="" dxfId="1">
      <formula>"DUPLICADO"</formula>
    </cfRule>
    <cfRule type="cellIs" priority="20" operator="equal" aboveAverage="0" equalAverage="0" bottom="0" percent="0" rank="0" text="" dxfId="2">
      <formula>"Falta llenar"</formula>
    </cfRule>
    <cfRule type="expression" priority="21" aboveAverage="0" equalAverage="0" bottom="0" percent="0" rank="0" text="" dxfId="1">
      <formula>LEFT(D66,13)="Falta prefijo"</formula>
    </cfRule>
  </conditionalFormatting>
  <dataValidations count="2">
    <dataValidation allowBlank="true" errorStyle="stop" operator="between" showDropDown="false" showErrorMessage="false" showInputMessage="false" sqref="H6:H19" type="list">
      <formula1>Listas!$B$2:$B$4</formula1>
      <formula2>0</formula2>
    </dataValidation>
    <dataValidation allowBlank="true" errorStyle="stop" operator="between" showDropDown="false" showErrorMessage="false" showInputMessage="false" sqref="F24:F39" type="list">
      <formula1>Listas!$B$2:$B$4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20"/>
  </cols>
  <sheetData>
    <row r="1" customFormat="false" ht="15" hidden="false" customHeight="false" outlineLevel="0" collapsed="false">
      <c r="A1" s="35" t="s">
        <v>261</v>
      </c>
      <c r="B1" s="35" t="s">
        <v>262</v>
      </c>
      <c r="C1" s="35" t="s">
        <v>263</v>
      </c>
      <c r="D1" s="35" t="s">
        <v>99</v>
      </c>
      <c r="F1" s="2" t="s">
        <v>264</v>
      </c>
    </row>
    <row r="2" customFormat="false" ht="15" hidden="false" customHeight="false" outlineLevel="0" collapsed="false">
      <c r="A2" s="36" t="s">
        <v>64</v>
      </c>
      <c r="B2" s="36" t="s">
        <v>154</v>
      </c>
      <c r="C2" s="36" t="s">
        <v>30</v>
      </c>
      <c r="D2" s="36" t="s">
        <v>104</v>
      </c>
    </row>
    <row r="3" customFormat="false" ht="15" hidden="false" customHeight="false" outlineLevel="0" collapsed="false">
      <c r="A3" s="36" t="s">
        <v>32</v>
      </c>
      <c r="B3" s="36" t="s">
        <v>265</v>
      </c>
      <c r="C3" s="36" t="s">
        <v>66</v>
      </c>
      <c r="D3" s="36" t="s">
        <v>106</v>
      </c>
    </row>
    <row r="4" customFormat="false" ht="15" hidden="false" customHeight="false" outlineLevel="0" collapsed="false">
      <c r="A4" s="36" t="s">
        <v>67</v>
      </c>
      <c r="B4" s="36" t="s">
        <v>266</v>
      </c>
      <c r="C4" s="36" t="s">
        <v>151</v>
      </c>
      <c r="D4" s="36" t="s">
        <v>108</v>
      </c>
    </row>
    <row r="5" customFormat="false" ht="15" hidden="false" customHeight="false" outlineLevel="0" collapsed="false">
      <c r="A5" s="36" t="s">
        <v>71</v>
      </c>
    </row>
    <row r="6" customFormat="false" ht="15" hidden="false" customHeight="false" outlineLevel="0" collapsed="false">
      <c r="A6" s="36" t="s">
        <v>267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2026-09-24T12:49:28Z</dcterms:created>
  <dc:creator>openpyxl</dc:creator>
  <dc:description/>
  <dc:language>en-US</dc:language>
  <cp:lastModifiedBy/>
  <dcterms:modified xsi:type="dcterms:W3CDTF">2026-09-24T12:49:28Z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